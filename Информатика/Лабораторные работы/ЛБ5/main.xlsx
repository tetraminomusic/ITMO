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итмо\Информатика\Лабораторные работы\ЛБ5\"/>
    </mc:Choice>
  </mc:AlternateContent>
  <xr:revisionPtr revIDLastSave="0" documentId="13_ncr:1_{7A240938-ADA4-4FFE-BE9B-65042017C1EE}" xr6:coauthVersionLast="47" xr6:coauthVersionMax="47" xr10:uidLastSave="{00000000-0000-0000-0000-000000000000}"/>
  <bookViews>
    <workbookView xWindow="-108" yWindow="-108" windowWidth="23256" windowHeight="12456" xr2:uid="{0DFA982F-AA92-4FF1-8E7E-11B45FACD42C}"/>
  </bookViews>
  <sheets>
    <sheet name="Основное_задание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0" i="1" l="1"/>
  <c r="A79" i="1"/>
  <c r="F4" i="1"/>
  <c r="F5" i="1"/>
  <c r="D9" i="1"/>
  <c r="J9" i="1" s="1"/>
  <c r="X75" i="1"/>
  <c r="S75" i="1"/>
  <c r="N75" i="1"/>
  <c r="X67" i="1"/>
  <c r="S67" i="1"/>
  <c r="N67" i="1"/>
  <c r="X59" i="1"/>
  <c r="S59" i="1"/>
  <c r="N59" i="1"/>
  <c r="X51" i="1"/>
  <c r="S51" i="1"/>
  <c r="N51" i="1"/>
  <c r="X43" i="1"/>
  <c r="S43" i="1"/>
  <c r="N43" i="1"/>
  <c r="X35" i="1"/>
  <c r="S35" i="1"/>
  <c r="N35" i="1"/>
  <c r="N27" i="1"/>
  <c r="S27" i="1"/>
  <c r="X27" i="1"/>
  <c r="N10" i="1"/>
  <c r="N25" i="1" s="1"/>
  <c r="N26" i="1" s="1"/>
  <c r="S10" i="1"/>
  <c r="S25" i="1" s="1"/>
  <c r="S26" i="1" s="1"/>
  <c r="X10" i="1"/>
  <c r="X25" i="1" s="1"/>
  <c r="X26" i="1" s="1"/>
  <c r="N11" i="1"/>
  <c r="N73" i="1" s="1"/>
  <c r="N74" i="1" s="1"/>
  <c r="S11" i="1"/>
  <c r="S73" i="1" s="1"/>
  <c r="S74" i="1" s="1"/>
  <c r="X11" i="1"/>
  <c r="X73" i="1" s="1"/>
  <c r="X74" i="1" s="1"/>
  <c r="N12" i="1"/>
  <c r="S12" i="1"/>
  <c r="X12" i="1"/>
  <c r="N13" i="1"/>
  <c r="S13" i="1"/>
  <c r="X13" i="1"/>
  <c r="N14" i="1"/>
  <c r="S14" i="1"/>
  <c r="X14" i="1"/>
  <c r="N15" i="1"/>
  <c r="N41" i="1" s="1"/>
  <c r="N42" i="1" s="1"/>
  <c r="S15" i="1"/>
  <c r="S41" i="1" s="1"/>
  <c r="S42" i="1" s="1"/>
  <c r="X15" i="1"/>
  <c r="X48" i="1" s="1"/>
  <c r="N16" i="1"/>
  <c r="N56" i="1" s="1"/>
  <c r="S16" i="1"/>
  <c r="S49" i="1" s="1"/>
  <c r="X16" i="1"/>
  <c r="X49" i="1" s="1"/>
  <c r="N17" i="1"/>
  <c r="N57" i="1" s="1"/>
  <c r="N58" i="1" s="1"/>
  <c r="S17" i="1"/>
  <c r="S57" i="1" s="1"/>
  <c r="S58" i="1" s="1"/>
  <c r="X17" i="1"/>
  <c r="X57" i="1" s="1"/>
  <c r="X58" i="1" s="1"/>
  <c r="N18" i="1"/>
  <c r="S18" i="1"/>
  <c r="X18" i="1"/>
  <c r="N19" i="1"/>
  <c r="N72" i="1" s="1"/>
  <c r="S19" i="1"/>
  <c r="S72" i="1" s="1"/>
  <c r="X19" i="1"/>
  <c r="X72" i="1" s="1"/>
  <c r="N20" i="1"/>
  <c r="S20" i="1"/>
  <c r="X20" i="1"/>
  <c r="N9" i="1"/>
  <c r="N24" i="1" s="1"/>
  <c r="S9" i="1"/>
  <c r="S24" i="1" s="1"/>
  <c r="X9" i="1"/>
  <c r="X24" i="1" s="1"/>
  <c r="D13" i="1"/>
  <c r="D19" i="1" s="1"/>
  <c r="W19" i="1" s="1"/>
  <c r="W72" i="1" s="1"/>
  <c r="D12" i="1"/>
  <c r="D18" i="1" s="1"/>
  <c r="J18" i="1" s="1"/>
  <c r="D11" i="1"/>
  <c r="D17" i="1" s="1"/>
  <c r="M17" i="1" s="1"/>
  <c r="M57" i="1" s="1"/>
  <c r="D10" i="1"/>
  <c r="D16" i="1" s="1"/>
  <c r="L16" i="1" s="1"/>
  <c r="L56" i="1" s="1"/>
  <c r="AD10" i="1" l="1"/>
  <c r="J13" i="1"/>
  <c r="AD16" i="1"/>
  <c r="AD9" i="1"/>
  <c r="AD19" i="1"/>
  <c r="AD18" i="1"/>
  <c r="AD17" i="1"/>
  <c r="AD13" i="1"/>
  <c r="AD12" i="1"/>
  <c r="AD11" i="1"/>
  <c r="S40" i="1"/>
  <c r="D15" i="1"/>
  <c r="AD15" i="1" s="1"/>
  <c r="AB19" i="1"/>
  <c r="AB72" i="1" s="1"/>
  <c r="J19" i="1"/>
  <c r="J72" i="1" s="1"/>
  <c r="X32" i="1"/>
  <c r="N32" i="1"/>
  <c r="S48" i="1"/>
  <c r="S33" i="1"/>
  <c r="S34" i="1" s="1"/>
  <c r="L49" i="1"/>
  <c r="AG56" i="1"/>
  <c r="X65" i="1"/>
  <c r="X66" i="1" s="1"/>
  <c r="X40" i="1"/>
  <c r="N65" i="1"/>
  <c r="N66" i="1" s="1"/>
  <c r="AG40" i="1"/>
  <c r="S64" i="1"/>
  <c r="X33" i="1"/>
  <c r="X34" i="1" s="1"/>
  <c r="AG57" i="1"/>
  <c r="N49" i="1"/>
  <c r="AG33" i="1"/>
  <c r="X56" i="1"/>
  <c r="AG72" i="1"/>
  <c r="X41" i="1"/>
  <c r="X42" i="1" s="1"/>
  <c r="AG64" i="1"/>
  <c r="N48" i="1"/>
  <c r="AG65" i="1"/>
  <c r="N33" i="1"/>
  <c r="N34" i="1" s="1"/>
  <c r="S65" i="1"/>
  <c r="S66" i="1" s="1"/>
  <c r="AG49" i="1"/>
  <c r="S56" i="1"/>
  <c r="N64" i="1"/>
  <c r="N40" i="1"/>
  <c r="L65" i="1"/>
  <c r="S32" i="1"/>
  <c r="X64" i="1"/>
  <c r="AG73" i="1"/>
  <c r="AG32" i="1"/>
  <c r="J16" i="1"/>
  <c r="J10" i="1"/>
  <c r="J17" i="1"/>
  <c r="J57" i="1" s="1"/>
  <c r="J12" i="1"/>
  <c r="J11" i="1"/>
  <c r="M16" i="1"/>
  <c r="P16" i="1"/>
  <c r="R16" i="1"/>
  <c r="O10" i="1"/>
  <c r="M10" i="1"/>
  <c r="P10" i="1"/>
  <c r="K16" i="1"/>
  <c r="L10" i="1"/>
  <c r="AB10" i="1"/>
  <c r="Z16" i="1"/>
  <c r="Y10" i="1"/>
  <c r="AA10" i="1"/>
  <c r="AA16" i="1"/>
  <c r="Z10" i="1"/>
  <c r="Y16" i="1"/>
  <c r="V10" i="1"/>
  <c r="V16" i="1"/>
  <c r="U10" i="1"/>
  <c r="K10" i="1"/>
  <c r="W10" i="1"/>
  <c r="W16" i="1"/>
  <c r="U16" i="1"/>
  <c r="T10" i="1"/>
  <c r="T16" i="1"/>
  <c r="R10" i="1"/>
  <c r="Q16" i="1"/>
  <c r="AG25" i="1"/>
  <c r="O16" i="1"/>
  <c r="Q10" i="1"/>
  <c r="AB16" i="1"/>
  <c r="U9" i="1"/>
  <c r="V19" i="1"/>
  <c r="V72" i="1" s="1"/>
  <c r="Y9" i="1"/>
  <c r="W9" i="1"/>
  <c r="V9" i="1"/>
  <c r="L19" i="1"/>
  <c r="L72" i="1" s="1"/>
  <c r="R17" i="1"/>
  <c r="R57" i="1" s="1"/>
  <c r="M13" i="1"/>
  <c r="Z12" i="1"/>
  <c r="AA19" i="1"/>
  <c r="AA72" i="1" s="1"/>
  <c r="K18" i="1"/>
  <c r="L13" i="1"/>
  <c r="Q12" i="1"/>
  <c r="U19" i="1"/>
  <c r="U72" i="1" s="1"/>
  <c r="AG24" i="1"/>
  <c r="T9" i="1"/>
  <c r="P9" i="1"/>
  <c r="M19" i="1"/>
  <c r="M72" i="1" s="1"/>
  <c r="P12" i="1"/>
  <c r="Q9" i="1"/>
  <c r="K19" i="1"/>
  <c r="K72" i="1" s="1"/>
  <c r="M9" i="1"/>
  <c r="Y18" i="1"/>
  <c r="O9" i="1"/>
  <c r="L9" i="1"/>
  <c r="K9" i="1"/>
  <c r="AA9" i="1"/>
  <c r="AB9" i="1"/>
  <c r="P18" i="1"/>
  <c r="W13" i="1"/>
  <c r="Z9" i="1"/>
  <c r="O18" i="1"/>
  <c r="T13" i="1"/>
  <c r="T19" i="1"/>
  <c r="T72" i="1" s="1"/>
  <c r="W18" i="1"/>
  <c r="Z17" i="1"/>
  <c r="Z57" i="1" s="1"/>
  <c r="V13" i="1"/>
  <c r="Z11" i="1"/>
  <c r="R19" i="1"/>
  <c r="R72" i="1" s="1"/>
  <c r="U18" i="1"/>
  <c r="V12" i="1"/>
  <c r="AB11" i="1"/>
  <c r="Y12" i="1"/>
  <c r="T18" i="1"/>
  <c r="R13" i="1"/>
  <c r="P19" i="1"/>
  <c r="P72" i="1" s="1"/>
  <c r="V17" i="1"/>
  <c r="V57" i="1" s="1"/>
  <c r="Q13" i="1"/>
  <c r="T12" i="1"/>
  <c r="V11" i="1"/>
  <c r="U13" i="1"/>
  <c r="K17" i="1"/>
  <c r="K57" i="1" s="1"/>
  <c r="AA11" i="1"/>
  <c r="V18" i="1"/>
  <c r="Y17" i="1"/>
  <c r="Y57" i="1" s="1"/>
  <c r="U12" i="1"/>
  <c r="O19" i="1"/>
  <c r="O72" i="1" s="1"/>
  <c r="R18" i="1"/>
  <c r="U17" i="1"/>
  <c r="U57" i="1" s="1"/>
  <c r="P13" i="1"/>
  <c r="U11" i="1"/>
  <c r="AB17" i="1"/>
  <c r="AB57" i="1" s="1"/>
  <c r="L17" i="1"/>
  <c r="L57" i="1" s="1"/>
  <c r="L11" i="1"/>
  <c r="AA17" i="1"/>
  <c r="AA57" i="1" s="1"/>
  <c r="K11" i="1"/>
  <c r="W12" i="1"/>
  <c r="Y11" i="1"/>
  <c r="Q19" i="1"/>
  <c r="Q72" i="1" s="1"/>
  <c r="W17" i="1"/>
  <c r="W57" i="1" s="1"/>
  <c r="W11" i="1"/>
  <c r="Q18" i="1"/>
  <c r="T17" i="1"/>
  <c r="T57" i="1" s="1"/>
  <c r="O13" i="1"/>
  <c r="R12" i="1"/>
  <c r="T11" i="1"/>
  <c r="R11" i="1"/>
  <c r="Q17" i="1"/>
  <c r="Q57" i="1" s="1"/>
  <c r="O12" i="1"/>
  <c r="Q11" i="1"/>
  <c r="Z19" i="1"/>
  <c r="Z72" i="1" s="1"/>
  <c r="M18" i="1"/>
  <c r="P17" i="1"/>
  <c r="P57" i="1" s="1"/>
  <c r="AB13" i="1"/>
  <c r="K13" i="1"/>
  <c r="P11" i="1"/>
  <c r="Y19" i="1"/>
  <c r="Y72" i="1" s="1"/>
  <c r="AB18" i="1"/>
  <c r="L18" i="1"/>
  <c r="O17" i="1"/>
  <c r="O57" i="1" s="1"/>
  <c r="AA13" i="1"/>
  <c r="M12" i="1"/>
  <c r="O11" i="1"/>
  <c r="AA18" i="1"/>
  <c r="Z13" i="1"/>
  <c r="AB12" i="1"/>
  <c r="L12" i="1"/>
  <c r="R9" i="1"/>
  <c r="Z18" i="1"/>
  <c r="Y13" i="1"/>
  <c r="AA12" i="1"/>
  <c r="K12" i="1"/>
  <c r="M11" i="1"/>
  <c r="D14" i="1"/>
  <c r="AD14" i="1" s="1"/>
  <c r="Y15" i="1" l="1"/>
  <c r="Y41" i="1" s="1"/>
  <c r="R15" i="1"/>
  <c r="R41" i="1" s="1"/>
  <c r="AA15" i="1"/>
  <c r="AA41" i="1" s="1"/>
  <c r="O15" i="1"/>
  <c r="O48" i="1" s="1"/>
  <c r="P15" i="1"/>
  <c r="P48" i="1" s="1"/>
  <c r="AG66" i="1"/>
  <c r="Q15" i="1"/>
  <c r="Q41" i="1" s="1"/>
  <c r="AG41" i="1"/>
  <c r="AG42" i="1" s="1"/>
  <c r="U15" i="1"/>
  <c r="U48" i="1" s="1"/>
  <c r="J15" i="1"/>
  <c r="J48" i="1" s="1"/>
  <c r="Z15" i="1"/>
  <c r="Z48" i="1" s="1"/>
  <c r="T15" i="1"/>
  <c r="V15" i="1"/>
  <c r="V48" i="1" s="1"/>
  <c r="M15" i="1"/>
  <c r="M41" i="1" s="1"/>
  <c r="K15" i="1"/>
  <c r="K41" i="1" s="1"/>
  <c r="L15" i="1"/>
  <c r="L41" i="1" s="1"/>
  <c r="AG48" i="1"/>
  <c r="AG50" i="1" s="1"/>
  <c r="AB15" i="1"/>
  <c r="AB41" i="1" s="1"/>
  <c r="W15" i="1"/>
  <c r="W48" i="1" s="1"/>
  <c r="J14" i="1"/>
  <c r="AG74" i="1"/>
  <c r="AG58" i="1"/>
  <c r="Q73" i="1"/>
  <c r="Q33" i="1"/>
  <c r="L73" i="1"/>
  <c r="L33" i="1"/>
  <c r="Q40" i="1"/>
  <c r="Q32" i="1"/>
  <c r="AA65" i="1"/>
  <c r="AA49" i="1"/>
  <c r="AA56" i="1"/>
  <c r="M24" i="1"/>
  <c r="M64" i="1"/>
  <c r="O56" i="1"/>
  <c r="O65" i="1"/>
  <c r="O49" i="1"/>
  <c r="AA40" i="1"/>
  <c r="AA32" i="1"/>
  <c r="M73" i="1"/>
  <c r="M33" i="1"/>
  <c r="J24" i="1"/>
  <c r="J64" i="1"/>
  <c r="U33" i="1"/>
  <c r="U73" i="1"/>
  <c r="Q56" i="1"/>
  <c r="Q65" i="1"/>
  <c r="Q49" i="1"/>
  <c r="Z49" i="1"/>
  <c r="Z56" i="1"/>
  <c r="Z65" i="1"/>
  <c r="T73" i="1"/>
  <c r="T33" i="1"/>
  <c r="Q24" i="1"/>
  <c r="Q64" i="1"/>
  <c r="R40" i="1"/>
  <c r="R32" i="1"/>
  <c r="AB40" i="1"/>
  <c r="AB32" i="1"/>
  <c r="J40" i="1"/>
  <c r="J32" i="1"/>
  <c r="Y40" i="1"/>
  <c r="Y32" i="1"/>
  <c r="O73" i="1"/>
  <c r="O33" i="1"/>
  <c r="T32" i="1"/>
  <c r="T40" i="1"/>
  <c r="K65" i="1"/>
  <c r="K49" i="1"/>
  <c r="K56" i="1"/>
  <c r="L40" i="1"/>
  <c r="L32" i="1"/>
  <c r="AB73" i="1"/>
  <c r="AB74" i="1" s="1"/>
  <c r="AB33" i="1"/>
  <c r="AB24" i="1"/>
  <c r="AB64" i="1"/>
  <c r="AA24" i="1"/>
  <c r="AA64" i="1"/>
  <c r="U49" i="1"/>
  <c r="U56" i="1"/>
  <c r="U65" i="1"/>
  <c r="P40" i="1"/>
  <c r="P32" i="1"/>
  <c r="Z24" i="1"/>
  <c r="Z64" i="1"/>
  <c r="R33" i="1"/>
  <c r="R73" i="1"/>
  <c r="T49" i="1"/>
  <c r="T56" i="1"/>
  <c r="T65" i="1"/>
  <c r="J56" i="1"/>
  <c r="J65" i="1"/>
  <c r="J49" i="1"/>
  <c r="V24" i="1"/>
  <c r="V64" i="1"/>
  <c r="W49" i="1"/>
  <c r="W56" i="1"/>
  <c r="W65" i="1"/>
  <c r="M40" i="1"/>
  <c r="M32" i="1"/>
  <c r="W33" i="1"/>
  <c r="W73" i="1"/>
  <c r="W24" i="1"/>
  <c r="W64" i="1"/>
  <c r="W40" i="1"/>
  <c r="W32" i="1"/>
  <c r="O40" i="1"/>
  <c r="O32" i="1"/>
  <c r="P33" i="1"/>
  <c r="P73" i="1"/>
  <c r="Z73" i="1"/>
  <c r="Z33" i="1"/>
  <c r="K24" i="1"/>
  <c r="K64" i="1"/>
  <c r="P24" i="1"/>
  <c r="P64" i="1"/>
  <c r="Y24" i="1"/>
  <c r="Y64" i="1"/>
  <c r="K40" i="1"/>
  <c r="K32" i="1"/>
  <c r="R49" i="1"/>
  <c r="R56" i="1"/>
  <c r="R65" i="1"/>
  <c r="AA73" i="1"/>
  <c r="AA33" i="1"/>
  <c r="L24" i="1"/>
  <c r="L64" i="1"/>
  <c r="T24" i="1"/>
  <c r="T64" i="1"/>
  <c r="U32" i="1"/>
  <c r="U40" i="1"/>
  <c r="P56" i="1"/>
  <c r="P65" i="1"/>
  <c r="P49" i="1"/>
  <c r="Y73" i="1"/>
  <c r="Y33" i="1"/>
  <c r="V49" i="1"/>
  <c r="V56" i="1"/>
  <c r="V65" i="1"/>
  <c r="M56" i="1"/>
  <c r="M65" i="1"/>
  <c r="M49" i="1"/>
  <c r="O24" i="1"/>
  <c r="O64" i="1"/>
  <c r="V40" i="1"/>
  <c r="V32" i="1"/>
  <c r="J73" i="1"/>
  <c r="J33" i="1"/>
  <c r="R24" i="1"/>
  <c r="R64" i="1"/>
  <c r="K73" i="1"/>
  <c r="K33" i="1"/>
  <c r="V33" i="1"/>
  <c r="V73" i="1"/>
  <c r="U24" i="1"/>
  <c r="U64" i="1"/>
  <c r="Y49" i="1"/>
  <c r="Y56" i="1"/>
  <c r="Y65" i="1"/>
  <c r="AB56" i="1"/>
  <c r="AB55" i="1" s="1"/>
  <c r="AB65" i="1"/>
  <c r="AB49" i="1"/>
  <c r="Z40" i="1"/>
  <c r="Z32" i="1"/>
  <c r="AG34" i="1"/>
  <c r="J25" i="1"/>
  <c r="K25" i="1"/>
  <c r="M25" i="1"/>
  <c r="V25" i="1"/>
  <c r="P25" i="1"/>
  <c r="Z25" i="1"/>
  <c r="AA25" i="1"/>
  <c r="Y25" i="1"/>
  <c r="R25" i="1"/>
  <c r="O25" i="1"/>
  <c r="Q25" i="1"/>
  <c r="AB25" i="1"/>
  <c r="T25" i="1"/>
  <c r="L25" i="1"/>
  <c r="W25" i="1"/>
  <c r="U25" i="1"/>
  <c r="AG26" i="1"/>
  <c r="D20" i="1"/>
  <c r="AD20" i="1" s="1"/>
  <c r="V14" i="1"/>
  <c r="W14" i="1"/>
  <c r="Y14" i="1"/>
  <c r="Z14" i="1"/>
  <c r="K14" i="1"/>
  <c r="M14" i="1"/>
  <c r="P14" i="1"/>
  <c r="R14" i="1"/>
  <c r="U14" i="1"/>
  <c r="AA14" i="1"/>
  <c r="T14" i="1"/>
  <c r="AB14" i="1"/>
  <c r="O14" i="1"/>
  <c r="L14" i="1"/>
  <c r="Q14" i="1"/>
  <c r="Y48" i="1" l="1"/>
  <c r="AB34" i="1"/>
  <c r="Q48" i="1"/>
  <c r="P41" i="1"/>
  <c r="Z41" i="1"/>
  <c r="O41" i="1"/>
  <c r="AA48" i="1"/>
  <c r="R48" i="1"/>
  <c r="J41" i="1"/>
  <c r="M48" i="1"/>
  <c r="V41" i="1"/>
  <c r="AA58" i="1"/>
  <c r="AB39" i="1"/>
  <c r="AA42" i="1" s="1"/>
  <c r="AB48" i="1"/>
  <c r="AB47" i="1" s="1"/>
  <c r="U41" i="1"/>
  <c r="L48" i="1"/>
  <c r="T48" i="1"/>
  <c r="T41" i="1"/>
  <c r="W41" i="1"/>
  <c r="K48" i="1"/>
  <c r="J20" i="1"/>
  <c r="AB63" i="1"/>
  <c r="AA66" i="1" s="1"/>
  <c r="AB23" i="1"/>
  <c r="AA23" i="1" s="1"/>
  <c r="AB26" i="1"/>
  <c r="AB42" i="1"/>
  <c r="AB66" i="1"/>
  <c r="AB31" i="1"/>
  <c r="AA31" i="1" s="1"/>
  <c r="Z31" i="1" s="1"/>
  <c r="AA55" i="1"/>
  <c r="Z55" i="1" s="1"/>
  <c r="AB71" i="1"/>
  <c r="AA71" i="1" s="1"/>
  <c r="Z71" i="1" s="1"/>
  <c r="Y71" i="1" s="1"/>
  <c r="AB58" i="1"/>
  <c r="T20" i="1"/>
  <c r="U20" i="1"/>
  <c r="V20" i="1"/>
  <c r="W20" i="1"/>
  <c r="Y20" i="1"/>
  <c r="K20" i="1"/>
  <c r="AA20" i="1"/>
  <c r="P20" i="1"/>
  <c r="R20" i="1"/>
  <c r="L20" i="1"/>
  <c r="AB20" i="1"/>
  <c r="M20" i="1"/>
  <c r="O20" i="1"/>
  <c r="Z20" i="1"/>
  <c r="Q20" i="1"/>
  <c r="AA50" i="1" l="1"/>
  <c r="AB50" i="1"/>
  <c r="Z58" i="1"/>
  <c r="AA39" i="1"/>
  <c r="Z39" i="1" s="1"/>
  <c r="Y42" i="1" s="1"/>
  <c r="AA63" i="1"/>
  <c r="Z66" i="1" s="1"/>
  <c r="AA26" i="1"/>
  <c r="AA47" i="1"/>
  <c r="Z50" i="1" s="1"/>
  <c r="AA74" i="1"/>
  <c r="Y58" i="1"/>
  <c r="Y55" i="1"/>
  <c r="Y34" i="1"/>
  <c r="Y31" i="1"/>
  <c r="AA34" i="1"/>
  <c r="Z74" i="1"/>
  <c r="Q76" i="1"/>
  <c r="X71" i="1"/>
  <c r="Y74" i="1"/>
  <c r="Z34" i="1"/>
  <c r="X50" i="1"/>
  <c r="Z23" i="1"/>
  <c r="Z26" i="1"/>
  <c r="Z42" i="1" l="1"/>
  <c r="Y39" i="1"/>
  <c r="X39" i="1" s="1"/>
  <c r="Z63" i="1"/>
  <c r="Y66" i="1" s="1"/>
  <c r="Z47" i="1"/>
  <c r="Y47" i="1" s="1"/>
  <c r="W71" i="1"/>
  <c r="W74" i="1"/>
  <c r="X31" i="1"/>
  <c r="Q36" i="1"/>
  <c r="X55" i="1"/>
  <c r="Q60" i="1"/>
  <c r="Y26" i="1"/>
  <c r="Y23" i="1"/>
  <c r="Q44" i="1" l="1"/>
  <c r="Y63" i="1"/>
  <c r="Q68" i="1" s="1"/>
  <c r="Y50" i="1"/>
  <c r="W39" i="1"/>
  <c r="W42" i="1"/>
  <c r="V71" i="1"/>
  <c r="V74" i="1"/>
  <c r="W55" i="1"/>
  <c r="W58" i="1"/>
  <c r="W31" i="1"/>
  <c r="W34" i="1"/>
  <c r="Q52" i="1"/>
  <c r="X47" i="1"/>
  <c r="X23" i="1"/>
  <c r="Q28" i="1"/>
  <c r="X63" i="1" l="1"/>
  <c r="W63" i="1" s="1"/>
  <c r="V42" i="1"/>
  <c r="V39" i="1"/>
  <c r="W47" i="1"/>
  <c r="W50" i="1"/>
  <c r="V31" i="1"/>
  <c r="V34" i="1"/>
  <c r="V58" i="1"/>
  <c r="V55" i="1"/>
  <c r="U74" i="1"/>
  <c r="U71" i="1"/>
  <c r="W26" i="1"/>
  <c r="W23" i="1"/>
  <c r="W66" i="1" l="1"/>
  <c r="U42" i="1"/>
  <c r="U39" i="1"/>
  <c r="T74" i="1"/>
  <c r="N76" i="1" s="1"/>
  <c r="T71" i="1"/>
  <c r="S71" i="1" s="1"/>
  <c r="U31" i="1"/>
  <c r="U34" i="1"/>
  <c r="V66" i="1"/>
  <c r="V63" i="1"/>
  <c r="U55" i="1"/>
  <c r="U58" i="1"/>
  <c r="V47" i="1"/>
  <c r="V50" i="1"/>
  <c r="V23" i="1"/>
  <c r="V26" i="1"/>
  <c r="T42" i="1" l="1"/>
  <c r="N44" i="1" s="1"/>
  <c r="T39" i="1"/>
  <c r="S39" i="1" s="1"/>
  <c r="U50" i="1"/>
  <c r="U47" i="1"/>
  <c r="R71" i="1"/>
  <c r="R74" i="1"/>
  <c r="T58" i="1"/>
  <c r="N60" i="1" s="1"/>
  <c r="T55" i="1"/>
  <c r="S55" i="1" s="1"/>
  <c r="U66" i="1"/>
  <c r="U63" i="1"/>
  <c r="T31" i="1"/>
  <c r="S31" i="1" s="1"/>
  <c r="T34" i="1"/>
  <c r="N36" i="1" s="1"/>
  <c r="S50" i="1"/>
  <c r="U23" i="1"/>
  <c r="U26" i="1"/>
  <c r="R42" i="1" l="1"/>
  <c r="R39" i="1"/>
  <c r="T66" i="1"/>
  <c r="N68" i="1" s="1"/>
  <c r="T63" i="1"/>
  <c r="S63" i="1" s="1"/>
  <c r="R55" i="1"/>
  <c r="R58" i="1"/>
  <c r="R34" i="1"/>
  <c r="R31" i="1"/>
  <c r="T50" i="1"/>
  <c r="N52" i="1" s="1"/>
  <c r="T47" i="1"/>
  <c r="S47" i="1" s="1"/>
  <c r="R47" i="1" s="1"/>
  <c r="Q71" i="1"/>
  <c r="Q74" i="1"/>
  <c r="T23" i="1"/>
  <c r="S23" i="1" s="1"/>
  <c r="T26" i="1"/>
  <c r="N28" i="1" s="1"/>
  <c r="Q39" i="1" l="1"/>
  <c r="Q42" i="1"/>
  <c r="P74" i="1"/>
  <c r="P71" i="1"/>
  <c r="R50" i="1"/>
  <c r="R63" i="1"/>
  <c r="R66" i="1"/>
  <c r="Q34" i="1"/>
  <c r="Q31" i="1"/>
  <c r="Q55" i="1"/>
  <c r="Q58" i="1"/>
  <c r="Q47" i="1"/>
  <c r="Q50" i="1"/>
  <c r="R23" i="1"/>
  <c r="R26" i="1"/>
  <c r="P39" i="1" l="1"/>
  <c r="P42" i="1"/>
  <c r="P31" i="1"/>
  <c r="P34" i="1"/>
  <c r="P55" i="1"/>
  <c r="P58" i="1"/>
  <c r="Q63" i="1"/>
  <c r="Q66" i="1"/>
  <c r="O71" i="1"/>
  <c r="N71" i="1" s="1"/>
  <c r="O74" i="1"/>
  <c r="P47" i="1"/>
  <c r="P50" i="1"/>
  <c r="Q23" i="1"/>
  <c r="Q26" i="1"/>
  <c r="O42" i="1" l="1"/>
  <c r="O39" i="1"/>
  <c r="N39" i="1" s="1"/>
  <c r="P63" i="1"/>
  <c r="P66" i="1"/>
  <c r="M71" i="1"/>
  <c r="M74" i="1"/>
  <c r="O55" i="1"/>
  <c r="N55" i="1" s="1"/>
  <c r="O58" i="1"/>
  <c r="O34" i="1"/>
  <c r="O31" i="1"/>
  <c r="N31" i="1" s="1"/>
  <c r="O47" i="1"/>
  <c r="O50" i="1"/>
  <c r="P23" i="1"/>
  <c r="P26" i="1"/>
  <c r="M42" i="1" l="1"/>
  <c r="M39" i="1"/>
  <c r="L74" i="1"/>
  <c r="L71" i="1"/>
  <c r="M34" i="1"/>
  <c r="M31" i="1"/>
  <c r="M58" i="1"/>
  <c r="M55" i="1"/>
  <c r="O66" i="1"/>
  <c r="O63" i="1"/>
  <c r="N63" i="1" s="1"/>
  <c r="N47" i="1"/>
  <c r="N50" i="1"/>
  <c r="O23" i="1"/>
  <c r="N23" i="1" s="1"/>
  <c r="O26" i="1"/>
  <c r="L39" i="1" l="1"/>
  <c r="L42" i="1"/>
  <c r="L55" i="1"/>
  <c r="L58" i="1"/>
  <c r="M66" i="1"/>
  <c r="M63" i="1"/>
  <c r="K71" i="1"/>
  <c r="K74" i="1"/>
  <c r="L31" i="1"/>
  <c r="L34" i="1"/>
  <c r="M47" i="1"/>
  <c r="M50" i="1"/>
  <c r="M23" i="1"/>
  <c r="M26" i="1"/>
  <c r="K39" i="1" l="1"/>
  <c r="J39" i="1" s="1"/>
  <c r="K42" i="1"/>
  <c r="K34" i="1"/>
  <c r="K31" i="1"/>
  <c r="J74" i="1"/>
  <c r="J71" i="1"/>
  <c r="K76" i="1" s="1"/>
  <c r="L66" i="1"/>
  <c r="L63" i="1"/>
  <c r="K58" i="1"/>
  <c r="K55" i="1"/>
  <c r="L47" i="1"/>
  <c r="L50" i="1"/>
  <c r="L26" i="1"/>
  <c r="L23" i="1"/>
  <c r="Z76" i="1" l="1"/>
  <c r="J42" i="1"/>
  <c r="J55" i="1"/>
  <c r="J58" i="1"/>
  <c r="K66" i="1"/>
  <c r="K63" i="1"/>
  <c r="AA75" i="1"/>
  <c r="K75" i="1"/>
  <c r="Z75" i="1"/>
  <c r="W75" i="1"/>
  <c r="R75" i="1"/>
  <c r="Q75" i="1"/>
  <c r="P75" i="1"/>
  <c r="J75" i="1"/>
  <c r="Y75" i="1"/>
  <c r="U75" i="1"/>
  <c r="V75" i="1"/>
  <c r="T75" i="1"/>
  <c r="L75" i="1"/>
  <c r="AB75" i="1"/>
  <c r="W76" i="1"/>
  <c r="O75" i="1"/>
  <c r="M75" i="1"/>
  <c r="J31" i="1"/>
  <c r="K36" i="1" s="1"/>
  <c r="J34" i="1"/>
  <c r="K47" i="1"/>
  <c r="K50" i="1"/>
  <c r="K23" i="1"/>
  <c r="K26" i="1"/>
  <c r="Z36" i="1" l="1"/>
  <c r="AD74" i="1"/>
  <c r="AI74" i="1" s="1"/>
  <c r="Q43" i="1"/>
  <c r="Y43" i="1"/>
  <c r="W43" i="1"/>
  <c r="P43" i="1"/>
  <c r="AB43" i="1"/>
  <c r="T43" i="1"/>
  <c r="K43" i="1"/>
  <c r="U43" i="1"/>
  <c r="J43" i="1"/>
  <c r="W44" i="1"/>
  <c r="Z43" i="1"/>
  <c r="R43" i="1"/>
  <c r="L43" i="1"/>
  <c r="M43" i="1"/>
  <c r="AA43" i="1"/>
  <c r="O43" i="1"/>
  <c r="V43" i="1"/>
  <c r="K44" i="1"/>
  <c r="Z44" i="1"/>
  <c r="J66" i="1"/>
  <c r="J63" i="1"/>
  <c r="R35" i="1"/>
  <c r="L35" i="1"/>
  <c r="AB35" i="1"/>
  <c r="K35" i="1"/>
  <c r="AA35" i="1"/>
  <c r="J35" i="1"/>
  <c r="Z35" i="1"/>
  <c r="Y35" i="1"/>
  <c r="Q35" i="1"/>
  <c r="W35" i="1"/>
  <c r="V35" i="1"/>
  <c r="U35" i="1"/>
  <c r="O35" i="1"/>
  <c r="T35" i="1"/>
  <c r="P35" i="1"/>
  <c r="M35" i="1"/>
  <c r="W36" i="1"/>
  <c r="K59" i="1"/>
  <c r="W59" i="1"/>
  <c r="AA59" i="1"/>
  <c r="O59" i="1"/>
  <c r="M59" i="1"/>
  <c r="L59" i="1"/>
  <c r="U59" i="1"/>
  <c r="W60" i="1"/>
  <c r="AB59" i="1"/>
  <c r="Z59" i="1"/>
  <c r="J59" i="1"/>
  <c r="Y59" i="1"/>
  <c r="T59" i="1"/>
  <c r="Q59" i="1"/>
  <c r="R59" i="1"/>
  <c r="V59" i="1"/>
  <c r="P59" i="1"/>
  <c r="K60" i="1"/>
  <c r="Z60" i="1"/>
  <c r="J50" i="1"/>
  <c r="J47" i="1"/>
  <c r="K52" i="1" s="1"/>
  <c r="J23" i="1"/>
  <c r="K28" i="1" s="1"/>
  <c r="J26" i="1"/>
  <c r="T76" i="1" l="1"/>
  <c r="AD58" i="1"/>
  <c r="T60" i="1" s="1"/>
  <c r="AD34" i="1"/>
  <c r="T36" i="1" s="1"/>
  <c r="AD42" i="1"/>
  <c r="Y27" i="1"/>
  <c r="Z27" i="1"/>
  <c r="L27" i="1"/>
  <c r="AB27" i="1"/>
  <c r="M27" i="1"/>
  <c r="J27" i="1"/>
  <c r="P27" i="1"/>
  <c r="O27" i="1"/>
  <c r="Q27" i="1"/>
  <c r="R27" i="1"/>
  <c r="V27" i="1"/>
  <c r="AA27" i="1"/>
  <c r="T27" i="1"/>
  <c r="U27" i="1"/>
  <c r="W27" i="1"/>
  <c r="K27" i="1"/>
  <c r="K68" i="1"/>
  <c r="Z68" i="1"/>
  <c r="M67" i="1"/>
  <c r="AB67" i="1"/>
  <c r="J67" i="1"/>
  <c r="Y67" i="1"/>
  <c r="P67" i="1"/>
  <c r="L67" i="1"/>
  <c r="AA67" i="1"/>
  <c r="T67" i="1"/>
  <c r="W67" i="1"/>
  <c r="K67" i="1"/>
  <c r="Z67" i="1"/>
  <c r="R67" i="1"/>
  <c r="W68" i="1"/>
  <c r="V67" i="1"/>
  <c r="Q67" i="1"/>
  <c r="U67" i="1"/>
  <c r="O67" i="1"/>
  <c r="Z52" i="1"/>
  <c r="W52" i="1"/>
  <c r="Q51" i="1"/>
  <c r="P51" i="1"/>
  <c r="O51" i="1"/>
  <c r="AB51" i="1"/>
  <c r="R51" i="1"/>
  <c r="M51" i="1"/>
  <c r="L51" i="1"/>
  <c r="AA51" i="1"/>
  <c r="K51" i="1"/>
  <c r="Z51" i="1"/>
  <c r="J51" i="1"/>
  <c r="Y51" i="1"/>
  <c r="U51" i="1"/>
  <c r="T51" i="1"/>
  <c r="W51" i="1"/>
  <c r="V51" i="1"/>
  <c r="Z28" i="1"/>
  <c r="W28" i="1"/>
  <c r="AI58" i="1" l="1"/>
  <c r="AD66" i="1"/>
  <c r="AD50" i="1"/>
  <c r="T52" i="1" s="1"/>
  <c r="T44" i="1"/>
  <c r="AI42" i="1"/>
  <c r="AD26" i="1"/>
  <c r="AI26" i="1" s="1"/>
  <c r="AI50" i="1" l="1"/>
  <c r="T68" i="1"/>
  <c r="AI66" i="1"/>
  <c r="AI34" i="1"/>
  <c r="T28" i="1"/>
</calcChain>
</file>

<file path=xl/sharedStrings.xml><?xml version="1.0" encoding="utf-8"?>
<sst xmlns="http://schemas.openxmlformats.org/spreadsheetml/2006/main" count="206" uniqueCount="79">
  <si>
    <t xml:space="preserve">A = </t>
  </si>
  <si>
    <t>╔═══════════════════════════════════╗</t>
  </si>
  <si>
    <t xml:space="preserve">C = </t>
  </si>
  <si>
    <t xml:space="preserve">A + C = </t>
  </si>
  <si>
    <t xml:space="preserve">A + C + C = </t>
  </si>
  <si>
    <t xml:space="preserve">C - A = </t>
  </si>
  <si>
    <t>╚═══════════════════════════════════╝</t>
  </si>
  <si>
    <t>(2)</t>
  </si>
  <si>
    <t>Перенос</t>
  </si>
  <si>
    <r>
      <t>B</t>
    </r>
    <r>
      <rPr>
        <sz val="7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</si>
  <si>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</si>
  <si>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</si>
  <si>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 xml:space="preserve">4 </t>
    </r>
    <r>
      <rPr>
        <sz val="11"/>
        <color theme="1"/>
        <rFont val="Calibri"/>
        <family val="2"/>
        <charset val="204"/>
        <scheme val="minor"/>
      </rPr>
      <t xml:space="preserve">= </t>
    </r>
  </si>
  <si>
    <r>
      <t>B</t>
    </r>
    <r>
      <rPr>
        <sz val="7"/>
        <color theme="1"/>
        <rFont val="Calibri"/>
        <family val="2"/>
        <charset val="204"/>
        <scheme val="minor"/>
      </rPr>
      <t xml:space="preserve">5 </t>
    </r>
    <r>
      <rPr>
        <sz val="11"/>
        <color theme="1"/>
        <rFont val="Calibri"/>
        <family val="2"/>
        <charset val="204"/>
        <scheme val="minor"/>
      </rPr>
      <t xml:space="preserve">= </t>
    </r>
  </si>
  <si>
    <r>
      <t>B</t>
    </r>
    <r>
      <rPr>
        <sz val="7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</si>
  <si>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>7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</si>
  <si>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>8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</si>
  <si>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>9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</si>
  <si>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</si>
  <si>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>11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</si>
  <si>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>12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</si>
  <si>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-B</t>
    </r>
    <r>
      <rPr>
        <sz val="7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</si>
  <si>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-B</t>
    </r>
    <r>
      <rPr>
        <sz val="7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</si>
  <si>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-B</t>
    </r>
    <r>
      <rPr>
        <sz val="7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</si>
  <si>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-B</t>
    </r>
    <r>
      <rPr>
        <sz val="7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</si>
  <si>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-B</t>
    </r>
    <r>
      <rPr>
        <sz val="7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</si>
  <si>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-B</t>
    </r>
    <r>
      <rPr>
        <sz val="7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</si>
  <si>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65536 - X</t>
    </r>
    <r>
      <rPr>
        <sz val="7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</si>
  <si>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-X</t>
    </r>
    <r>
      <rPr>
        <sz val="7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</si>
  <si>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-X</t>
    </r>
    <r>
      <rPr>
        <sz val="7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</si>
  <si>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-X</t>
    </r>
    <r>
      <rPr>
        <sz val="7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</si>
  <si>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-X</t>
    </r>
    <r>
      <rPr>
        <sz val="7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</si>
  <si>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-X</t>
    </r>
    <r>
      <rPr>
        <sz val="7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</si>
  <si>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-X</t>
    </r>
    <r>
      <rPr>
        <sz val="7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</si>
  <si>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B</t>
    </r>
    <r>
      <rPr>
        <sz val="7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</si>
  <si>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t>B</t>
    </r>
    <r>
      <rPr>
        <sz val="7"/>
        <color theme="1"/>
        <rFont val="Calibri"/>
        <family val="2"/>
        <charset val="204"/>
        <scheme val="minor"/>
      </rPr>
      <t>1</t>
    </r>
  </si>
  <si>
    <t>(10)</t>
  </si>
  <si>
    <t>(2)                 =</t>
  </si>
  <si>
    <r>
      <t>X</t>
    </r>
    <r>
      <rPr>
        <sz val="7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</si>
  <si>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</si>
  <si>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</si>
  <si>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</si>
  <si>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</si>
  <si>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</si>
  <si>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7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</si>
  <si>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8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</si>
  <si>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9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</si>
  <si>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</si>
  <si>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11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</si>
  <si>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12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</si>
  <si>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X</t>
    </r>
    <r>
      <rPr>
        <sz val="7"/>
        <color theme="1"/>
        <rFont val="Calibri"/>
        <family val="2"/>
        <charset val="204"/>
        <scheme val="minor"/>
      </rPr>
      <t>1</t>
    </r>
  </si>
  <si>
    <r>
      <t>X</t>
    </r>
    <r>
      <rPr>
        <sz val="7"/>
        <color theme="1"/>
        <rFont val="Calibri"/>
        <family val="2"/>
        <charset val="204"/>
        <scheme val="minor"/>
      </rPr>
      <t>2</t>
    </r>
  </si>
  <si>
    <t>Результат</t>
  </si>
  <si>
    <t>Перевод из Доп. Кода</t>
  </si>
  <si>
    <t>CF=</t>
  </si>
  <si>
    <t>PF=</t>
  </si>
  <si>
    <t>AF=</t>
  </si>
  <si>
    <t>ZF=</t>
  </si>
  <si>
    <t>OF=</t>
  </si>
  <si>
    <t>SF=</t>
  </si>
  <si>
    <t>ОДЗ:</t>
  </si>
  <si>
    <r>
      <t>[-2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charset val="204"/>
        <scheme val="minor"/>
      </rPr>
      <t>;2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charset val="204"/>
        <scheme val="minor"/>
      </rPr>
      <t>-1]</t>
    </r>
  </si>
  <si>
    <t>В ходе операции сложения положительных чисел получен отрицательный результат, что является признаком переполнения (Флаг OF)</t>
  </si>
  <si>
    <t>В ходе операции сложения двух неотрицательных чисел был получен корректный результат</t>
  </si>
  <si>
    <t>В ходе операции сложения неотрицательного и отрицательного чисел был получен корректный результат. При том перенос за разрядную сетку не учитывается</t>
  </si>
  <si>
    <t>В ходе операции сложения двух отрицательных чисел получен положительный результат, что являвется признаком переполнения и Carry flag'a (Флаг OF и CF)</t>
  </si>
  <si>
    <t>В ходе операции сложения двух отрицательных чисел был получен корректный результат</t>
  </si>
  <si>
    <r>
      <t>X</t>
    </r>
    <r>
      <rPr>
        <sz val="7"/>
        <color theme="1"/>
        <rFont val="Calibri"/>
        <family val="2"/>
        <charset val="204"/>
        <scheme val="minor"/>
      </rPr>
      <t>3</t>
    </r>
  </si>
  <si>
    <r>
      <t>B</t>
    </r>
    <r>
      <rPr>
        <sz val="7"/>
        <color theme="1"/>
        <rFont val="Calibri"/>
        <family val="2"/>
        <charset val="204"/>
        <scheme val="minor"/>
      </rPr>
      <t>2</t>
    </r>
  </si>
  <si>
    <r>
      <t>B</t>
    </r>
    <r>
      <rPr>
        <sz val="7"/>
        <color theme="1"/>
        <rFont val="Calibri"/>
        <family val="2"/>
        <charset val="204"/>
        <scheme val="minor"/>
      </rPr>
      <t>3</t>
    </r>
  </si>
  <si>
    <r>
      <t>B</t>
    </r>
    <r>
      <rPr>
        <sz val="7"/>
        <color theme="1"/>
        <rFont val="Calibri"/>
        <family val="2"/>
        <charset val="204"/>
        <scheme val="minor"/>
      </rPr>
      <t>7</t>
    </r>
  </si>
  <si>
    <r>
      <t>X</t>
    </r>
    <r>
      <rPr>
        <sz val="7"/>
        <color theme="1"/>
        <rFont val="Calibri"/>
        <family val="2"/>
        <charset val="204"/>
        <scheme val="minor"/>
      </rPr>
      <t>7</t>
    </r>
  </si>
  <si>
    <r>
      <t>B</t>
    </r>
    <r>
      <rPr>
        <sz val="7"/>
        <color theme="1"/>
        <rFont val="Calibri"/>
        <family val="2"/>
        <charset val="204"/>
        <scheme val="minor"/>
      </rPr>
      <t>8</t>
    </r>
  </si>
  <si>
    <r>
      <t>X</t>
    </r>
    <r>
      <rPr>
        <sz val="7"/>
        <color theme="1"/>
        <rFont val="Calibri"/>
        <family val="2"/>
        <charset val="204"/>
        <scheme val="minor"/>
      </rPr>
      <t>8</t>
    </r>
  </si>
  <si>
    <r>
      <t>B</t>
    </r>
    <r>
      <rPr>
        <sz val="7"/>
        <color theme="1"/>
        <rFont val="Calibri"/>
        <family val="2"/>
        <charset val="204"/>
        <scheme val="minor"/>
      </rPr>
      <t>9</t>
    </r>
  </si>
  <si>
    <r>
      <t>X</t>
    </r>
    <r>
      <rPr>
        <sz val="7"/>
        <color theme="1"/>
        <rFont val="Calibri"/>
        <family val="2"/>
        <charset val="204"/>
        <scheme val="minor"/>
      </rPr>
      <t>9</t>
    </r>
  </si>
  <si>
    <r>
      <t>B</t>
    </r>
    <r>
      <rPr>
        <sz val="7"/>
        <color theme="1"/>
        <rFont val="Calibri"/>
        <family val="2"/>
        <charset val="204"/>
        <scheme val="minor"/>
      </rPr>
      <t>11</t>
    </r>
  </si>
  <si>
    <r>
      <t>X</t>
    </r>
    <r>
      <rPr>
        <sz val="7"/>
        <color theme="1"/>
        <rFont val="Calibri"/>
        <family val="2"/>
        <charset val="204"/>
        <scheme val="minor"/>
      </rPr>
      <t>11</t>
    </r>
  </si>
  <si>
    <t>Малых Кирилл Романович. Вариант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</si>
</sst>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7" formatCode="[$-F800]dddd\,\ mmmm\ dd\,\ yyyy"/>
  </numFmts>
  <fonts count="7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10"/>
      <color theme="1"/>
      <name val="JetBrains Mono"/>
      <family val="3"/>
    </font>
    <font>
      <vertAlign val="superscript"/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/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167" fontId="0" fillId="0" borderId="0" xfId="0" applyNumberFormat="1" applyAlignment="1">
      <alignment horizontal="center" wrapText="1"/>
    </xf>
    <xf numFmtId="0" fontId="5" fillId="0" borderId="0" xfId="0" applyFont="1" applyAlignment="1">
      <alignment horizontal="left" indent="6"/>
    </xf>
    <xf numFmtId="167" fontId="5" fillId="0" borderId="0" xfId="0" applyNumberFormat="1" applyFont="1" applyAlignment="1">
      <alignment horizontal="left" wrapText="1" indent="6"/>
    </xf>
    <xf numFmtId="18" fontId="5" fillId="0" borderId="0" xfId="0" applyNumberFormat="1" applyFont="1" applyAlignment="1">
      <alignment horizontal="left" indent="6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204418</xdr:colOff>
      <xdr:row>23</xdr:row>
      <xdr:rowOff>110270</xdr:rowOff>
    </xdr:from>
    <xdr:to>
      <xdr:col>7</xdr:col>
      <xdr:colOff>325467</xdr:colOff>
      <xdr:row>24</xdr:row>
      <xdr:rowOff>64231</xdr:rowOff>
    </xdr:to>
    <xdr:sp macro="" textlink="">
      <xdr:nvSpPr>
        <xdr:cNvPr id="2" name="Знак ''плюс'' 1">
          <a:extLst>
            <a:ext uri="{FF2B5EF4-FFF2-40B4-BE49-F238E27FC236}">
              <a16:creationId xmlns:a16="http://schemas.microsoft.com/office/drawing/2014/main" id="{18210DBC-1BDD-3677-57FC-62A8C3460659}"/>
            </a:ext>
          </a:extLst>
        </xdr:cNvPr>
        <xdr:cNvSpPr/>
      </xdr:nvSpPr>
      <xdr:spPr>
        <a:xfrm>
          <a:off x="4917292" y="4752707"/>
          <a:ext cx="121049" cy="139658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348776</xdr:colOff>
      <xdr:row>23</xdr:row>
      <xdr:rowOff>106149</xdr:rowOff>
    </xdr:from>
    <xdr:to>
      <xdr:col>31</xdr:col>
      <xdr:colOff>469825</xdr:colOff>
      <xdr:row>24</xdr:row>
      <xdr:rowOff>61585</xdr:rowOff>
    </xdr:to>
    <xdr:sp macro="" textlink="">
      <xdr:nvSpPr>
        <xdr:cNvPr id="3" name="Знак ''плюс'' 2">
          <a:extLst>
            <a:ext uri="{FF2B5EF4-FFF2-40B4-BE49-F238E27FC236}">
              <a16:creationId xmlns:a16="http://schemas.microsoft.com/office/drawing/2014/main" id="{E8809ACA-094B-4A45-81ED-729A278147D2}"/>
            </a:ext>
          </a:extLst>
        </xdr:cNvPr>
        <xdr:cNvSpPr/>
      </xdr:nvSpPr>
      <xdr:spPr>
        <a:xfrm>
          <a:off x="12866806" y="4655403"/>
          <a:ext cx="121049" cy="137406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204418</xdr:colOff>
      <xdr:row>31</xdr:row>
      <xdr:rowOff>110270</xdr:rowOff>
    </xdr:from>
    <xdr:to>
      <xdr:col>7</xdr:col>
      <xdr:colOff>325467</xdr:colOff>
      <xdr:row>32</xdr:row>
      <xdr:rowOff>64231</xdr:rowOff>
    </xdr:to>
    <xdr:sp macro="" textlink="">
      <xdr:nvSpPr>
        <xdr:cNvPr id="6" name="Знак ''плюс'' 5">
          <a:extLst>
            <a:ext uri="{FF2B5EF4-FFF2-40B4-BE49-F238E27FC236}">
              <a16:creationId xmlns:a16="http://schemas.microsoft.com/office/drawing/2014/main" id="{62B4382C-A5C0-4986-8472-E63043EE984B}"/>
            </a:ext>
          </a:extLst>
        </xdr:cNvPr>
        <xdr:cNvSpPr/>
      </xdr:nvSpPr>
      <xdr:spPr>
        <a:xfrm>
          <a:off x="4907515" y="4616722"/>
          <a:ext cx="121049" cy="158799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348776</xdr:colOff>
      <xdr:row>31</xdr:row>
      <xdr:rowOff>106149</xdr:rowOff>
    </xdr:from>
    <xdr:to>
      <xdr:col>31</xdr:col>
      <xdr:colOff>469825</xdr:colOff>
      <xdr:row>32</xdr:row>
      <xdr:rowOff>61585</xdr:rowOff>
    </xdr:to>
    <xdr:sp macro="" textlink="">
      <xdr:nvSpPr>
        <xdr:cNvPr id="7" name="Знак ''плюс'' 6">
          <a:extLst>
            <a:ext uri="{FF2B5EF4-FFF2-40B4-BE49-F238E27FC236}">
              <a16:creationId xmlns:a16="http://schemas.microsoft.com/office/drawing/2014/main" id="{68483E03-AFF7-424F-8C7E-B5A638C8BB72}"/>
            </a:ext>
          </a:extLst>
        </xdr:cNvPr>
        <xdr:cNvSpPr/>
      </xdr:nvSpPr>
      <xdr:spPr>
        <a:xfrm>
          <a:off x="13220841" y="4612601"/>
          <a:ext cx="121049" cy="160274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204418</xdr:colOff>
      <xdr:row>39</xdr:row>
      <xdr:rowOff>110270</xdr:rowOff>
    </xdr:from>
    <xdr:to>
      <xdr:col>7</xdr:col>
      <xdr:colOff>325467</xdr:colOff>
      <xdr:row>40</xdr:row>
      <xdr:rowOff>64231</xdr:rowOff>
    </xdr:to>
    <xdr:sp macro="" textlink="">
      <xdr:nvSpPr>
        <xdr:cNvPr id="8" name="Знак ''плюс'' 7">
          <a:extLst>
            <a:ext uri="{FF2B5EF4-FFF2-40B4-BE49-F238E27FC236}">
              <a16:creationId xmlns:a16="http://schemas.microsoft.com/office/drawing/2014/main" id="{072AC9CE-F07E-4581-A3FA-D659AB05FBC7}"/>
            </a:ext>
          </a:extLst>
        </xdr:cNvPr>
        <xdr:cNvSpPr/>
      </xdr:nvSpPr>
      <xdr:spPr>
        <a:xfrm>
          <a:off x="4926937" y="6046344"/>
          <a:ext cx="121049" cy="132702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348776</xdr:colOff>
      <xdr:row>39</xdr:row>
      <xdr:rowOff>106149</xdr:rowOff>
    </xdr:from>
    <xdr:to>
      <xdr:col>31</xdr:col>
      <xdr:colOff>469825</xdr:colOff>
      <xdr:row>40</xdr:row>
      <xdr:rowOff>61585</xdr:rowOff>
    </xdr:to>
    <xdr:sp macro="" textlink="">
      <xdr:nvSpPr>
        <xdr:cNvPr id="9" name="Знак ''плюс'' 8">
          <a:extLst>
            <a:ext uri="{FF2B5EF4-FFF2-40B4-BE49-F238E27FC236}">
              <a16:creationId xmlns:a16="http://schemas.microsoft.com/office/drawing/2014/main" id="{A9D59832-99B0-4D8A-B97A-FD2772FB9E00}"/>
            </a:ext>
          </a:extLst>
        </xdr:cNvPr>
        <xdr:cNvSpPr/>
      </xdr:nvSpPr>
      <xdr:spPr>
        <a:xfrm>
          <a:off x="13274554" y="6042223"/>
          <a:ext cx="121049" cy="134177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204418</xdr:colOff>
      <xdr:row>47</xdr:row>
      <xdr:rowOff>110270</xdr:rowOff>
    </xdr:from>
    <xdr:to>
      <xdr:col>7</xdr:col>
      <xdr:colOff>325467</xdr:colOff>
      <xdr:row>48</xdr:row>
      <xdr:rowOff>64231</xdr:rowOff>
    </xdr:to>
    <xdr:sp macro="" textlink="">
      <xdr:nvSpPr>
        <xdr:cNvPr id="10" name="Знак ''плюс'' 9">
          <a:extLst>
            <a:ext uri="{FF2B5EF4-FFF2-40B4-BE49-F238E27FC236}">
              <a16:creationId xmlns:a16="http://schemas.microsoft.com/office/drawing/2014/main" id="{89CDFA8C-C978-454E-A739-2C44F7F53CFD}"/>
            </a:ext>
          </a:extLst>
        </xdr:cNvPr>
        <xdr:cNvSpPr/>
      </xdr:nvSpPr>
      <xdr:spPr>
        <a:xfrm>
          <a:off x="4908940" y="7829661"/>
          <a:ext cx="121049" cy="141700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348776</xdr:colOff>
      <xdr:row>47</xdr:row>
      <xdr:rowOff>106149</xdr:rowOff>
    </xdr:from>
    <xdr:to>
      <xdr:col>31</xdr:col>
      <xdr:colOff>469825</xdr:colOff>
      <xdr:row>48</xdr:row>
      <xdr:rowOff>61585</xdr:rowOff>
    </xdr:to>
    <xdr:sp macro="" textlink="">
      <xdr:nvSpPr>
        <xdr:cNvPr id="11" name="Знак ''плюс'' 10">
          <a:extLst>
            <a:ext uri="{FF2B5EF4-FFF2-40B4-BE49-F238E27FC236}">
              <a16:creationId xmlns:a16="http://schemas.microsoft.com/office/drawing/2014/main" id="{A4E439EC-FA50-480F-B9F4-A9E870F5E3A8}"/>
            </a:ext>
          </a:extLst>
        </xdr:cNvPr>
        <xdr:cNvSpPr/>
      </xdr:nvSpPr>
      <xdr:spPr>
        <a:xfrm>
          <a:off x="13059819" y="7825540"/>
          <a:ext cx="121049" cy="143175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204418</xdr:colOff>
      <xdr:row>55</xdr:row>
      <xdr:rowOff>110270</xdr:rowOff>
    </xdr:from>
    <xdr:to>
      <xdr:col>7</xdr:col>
      <xdr:colOff>325467</xdr:colOff>
      <xdr:row>56</xdr:row>
      <xdr:rowOff>64231</xdr:rowOff>
    </xdr:to>
    <xdr:sp macro="" textlink="">
      <xdr:nvSpPr>
        <xdr:cNvPr id="12" name="Знак ''плюс'' 11">
          <a:extLst>
            <a:ext uri="{FF2B5EF4-FFF2-40B4-BE49-F238E27FC236}">
              <a16:creationId xmlns:a16="http://schemas.microsoft.com/office/drawing/2014/main" id="{756AA55B-71DB-4552-A278-4B493E6FD94F}"/>
            </a:ext>
          </a:extLst>
        </xdr:cNvPr>
        <xdr:cNvSpPr/>
      </xdr:nvSpPr>
      <xdr:spPr>
        <a:xfrm>
          <a:off x="4935517" y="9187281"/>
          <a:ext cx="121049" cy="138181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348776</xdr:colOff>
      <xdr:row>55</xdr:row>
      <xdr:rowOff>106149</xdr:rowOff>
    </xdr:from>
    <xdr:to>
      <xdr:col>31</xdr:col>
      <xdr:colOff>469825</xdr:colOff>
      <xdr:row>56</xdr:row>
      <xdr:rowOff>61585</xdr:rowOff>
    </xdr:to>
    <xdr:sp macro="" textlink="">
      <xdr:nvSpPr>
        <xdr:cNvPr id="13" name="Знак ''плюс'' 12">
          <a:extLst>
            <a:ext uri="{FF2B5EF4-FFF2-40B4-BE49-F238E27FC236}">
              <a16:creationId xmlns:a16="http://schemas.microsoft.com/office/drawing/2014/main" id="{C36A8CC8-30E9-4174-906D-C275DD1AC29B}"/>
            </a:ext>
          </a:extLst>
        </xdr:cNvPr>
        <xdr:cNvSpPr/>
      </xdr:nvSpPr>
      <xdr:spPr>
        <a:xfrm>
          <a:off x="13210666" y="9183160"/>
          <a:ext cx="121049" cy="139656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204418</xdr:colOff>
      <xdr:row>63</xdr:row>
      <xdr:rowOff>110270</xdr:rowOff>
    </xdr:from>
    <xdr:to>
      <xdr:col>7</xdr:col>
      <xdr:colOff>325467</xdr:colOff>
      <xdr:row>64</xdr:row>
      <xdr:rowOff>64231</xdr:rowOff>
    </xdr:to>
    <xdr:sp macro="" textlink="">
      <xdr:nvSpPr>
        <xdr:cNvPr id="15" name="Знак ''плюс'' 14">
          <a:extLst>
            <a:ext uri="{FF2B5EF4-FFF2-40B4-BE49-F238E27FC236}">
              <a16:creationId xmlns:a16="http://schemas.microsoft.com/office/drawing/2014/main" id="{6EBF13EE-230F-4073-A279-701C15E38FF1}"/>
            </a:ext>
          </a:extLst>
        </xdr:cNvPr>
        <xdr:cNvSpPr/>
      </xdr:nvSpPr>
      <xdr:spPr>
        <a:xfrm>
          <a:off x="4935517" y="10669413"/>
          <a:ext cx="121049" cy="138181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348776</xdr:colOff>
      <xdr:row>63</xdr:row>
      <xdr:rowOff>106149</xdr:rowOff>
    </xdr:from>
    <xdr:to>
      <xdr:col>31</xdr:col>
      <xdr:colOff>469825</xdr:colOff>
      <xdr:row>64</xdr:row>
      <xdr:rowOff>61585</xdr:rowOff>
    </xdr:to>
    <xdr:sp macro="" textlink="">
      <xdr:nvSpPr>
        <xdr:cNvPr id="16" name="Знак ''плюс'' 15">
          <a:extLst>
            <a:ext uri="{FF2B5EF4-FFF2-40B4-BE49-F238E27FC236}">
              <a16:creationId xmlns:a16="http://schemas.microsoft.com/office/drawing/2014/main" id="{E3616932-5E44-426E-8875-EF9622A0623D}"/>
            </a:ext>
          </a:extLst>
        </xdr:cNvPr>
        <xdr:cNvSpPr/>
      </xdr:nvSpPr>
      <xdr:spPr>
        <a:xfrm>
          <a:off x="13210666" y="10665292"/>
          <a:ext cx="121049" cy="139656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204418</xdr:colOff>
      <xdr:row>71</xdr:row>
      <xdr:rowOff>110270</xdr:rowOff>
    </xdr:from>
    <xdr:to>
      <xdr:col>7</xdr:col>
      <xdr:colOff>325467</xdr:colOff>
      <xdr:row>72</xdr:row>
      <xdr:rowOff>64231</xdr:rowOff>
    </xdr:to>
    <xdr:sp macro="" textlink="">
      <xdr:nvSpPr>
        <xdr:cNvPr id="18" name="Знак ''плюс'' 17">
          <a:extLst>
            <a:ext uri="{FF2B5EF4-FFF2-40B4-BE49-F238E27FC236}">
              <a16:creationId xmlns:a16="http://schemas.microsoft.com/office/drawing/2014/main" id="{DAF7A81C-A1A4-4C19-BE0F-88B47FAC33AE}"/>
            </a:ext>
          </a:extLst>
        </xdr:cNvPr>
        <xdr:cNvSpPr/>
      </xdr:nvSpPr>
      <xdr:spPr>
        <a:xfrm>
          <a:off x="4935517" y="12151545"/>
          <a:ext cx="121049" cy="138181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283605</xdr:colOff>
      <xdr:row>71</xdr:row>
      <xdr:rowOff>106149</xdr:rowOff>
    </xdr:from>
    <xdr:to>
      <xdr:col>31</xdr:col>
      <xdr:colOff>404654</xdr:colOff>
      <xdr:row>72</xdr:row>
      <xdr:rowOff>61585</xdr:rowOff>
    </xdr:to>
    <xdr:sp macro="" textlink="">
      <xdr:nvSpPr>
        <xdr:cNvPr id="19" name="Знак ''плюс'' 18">
          <a:extLst>
            <a:ext uri="{FF2B5EF4-FFF2-40B4-BE49-F238E27FC236}">
              <a16:creationId xmlns:a16="http://schemas.microsoft.com/office/drawing/2014/main" id="{32D1437E-659A-4474-917F-1112B7436C10}"/>
            </a:ext>
          </a:extLst>
        </xdr:cNvPr>
        <xdr:cNvSpPr/>
      </xdr:nvSpPr>
      <xdr:spPr>
        <a:xfrm>
          <a:off x="13162408" y="13365952"/>
          <a:ext cx="121049" cy="135909"/>
        </a:xfrm>
        <a:prstGeom prst="mathPlus">
          <a:avLst/>
        </a:prstGeom>
        <a:solidFill>
          <a:schemeClr val="tx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856A-84C8-4140-8EF9-1F219F67AF0D}">
  <dimension ref="A1:AL80"/>
  <sheetViews>
    <sheetView tabSelected="1" topLeftCell="A52" zoomScale="78" zoomScaleNormal="102" workbookViewId="0">
      <selection activeCell="H85" sqref="H85"/>
    </sheetView>
  </sheetViews>
  <sheetFormatPr defaultRowHeight="14.4"/>
  <cols>
    <col min="1" max="1" width="8.88671875" style="19"/>
    <col min="3" max="3" width="11.5546875" customWidth="1"/>
    <col min="4" max="4" width="12.6640625" customWidth="1"/>
    <col min="8" max="8" width="13.33203125" customWidth="1"/>
    <col min="9" max="9" width="6.6640625" customWidth="1"/>
    <col min="10" max="28" width="3.6640625" customWidth="1"/>
  </cols>
  <sheetData>
    <row r="1" spans="1:38" s="20" customFormat="1" ht="30" customHeight="1">
      <c r="A1" s="20" t="s">
        <v>78</v>
      </c>
    </row>
    <row r="2" spans="1:38">
      <c r="A2"/>
    </row>
    <row r="3" spans="1:38">
      <c r="A3" s="3"/>
      <c r="B3" s="9" t="s">
        <v>1</v>
      </c>
    </row>
    <row r="4" spans="1:38">
      <c r="A4"/>
      <c r="C4" s="1" t="s">
        <v>0</v>
      </c>
      <c r="D4" s="4">
        <v>4930</v>
      </c>
      <c r="E4" s="17"/>
      <c r="F4" s="18" t="str">
        <f>IF(ISNUMBER(D4),IF(MOD(D4,1)&lt;&gt;0,"ОШИБКА: Число не является целочисленным",""),"ОШИБКА: Число не было введено")</f>
        <v/>
      </c>
    </row>
    <row r="5" spans="1:38">
      <c r="A5"/>
      <c r="C5" s="1" t="s">
        <v>2</v>
      </c>
      <c r="D5" s="4">
        <v>18130</v>
      </c>
      <c r="F5" s="18" t="str">
        <f>IF(ISNUMBER(D5),IF(MOD(D5,1)&lt;&gt;0,"ОШИБКА: Число не является целочисленным",""),"ОШИБКА: Число не было введено")</f>
        <v/>
      </c>
    </row>
    <row r="6" spans="1:38">
      <c r="A6"/>
      <c r="B6" s="9" t="s">
        <v>6</v>
      </c>
    </row>
    <row r="8" spans="1:38">
      <c r="A8"/>
      <c r="J8" s="5">
        <v>15</v>
      </c>
      <c r="K8" s="5">
        <v>14</v>
      </c>
      <c r="L8" s="5">
        <v>13</v>
      </c>
      <c r="M8" s="5">
        <v>12</v>
      </c>
      <c r="N8" s="5"/>
      <c r="O8" s="5">
        <v>11</v>
      </c>
      <c r="P8" s="5">
        <v>10</v>
      </c>
      <c r="Q8" s="5">
        <v>9</v>
      </c>
      <c r="R8" s="5">
        <v>8</v>
      </c>
      <c r="S8" s="5"/>
      <c r="T8" s="5">
        <v>7</v>
      </c>
      <c r="U8" s="5">
        <v>6</v>
      </c>
      <c r="V8" s="5">
        <v>5</v>
      </c>
      <c r="W8" s="5">
        <v>4</v>
      </c>
      <c r="X8" s="5"/>
      <c r="Y8" s="5">
        <v>3</v>
      </c>
      <c r="Z8" s="5">
        <v>2</v>
      </c>
      <c r="AA8" s="5">
        <v>1</v>
      </c>
      <c r="AB8" s="5">
        <v>0</v>
      </c>
    </row>
    <row r="9" spans="1:38">
      <c r="A9"/>
      <c r="B9" s="1" t="s">
        <v>38</v>
      </c>
      <c r="C9" s="1" t="s">
        <v>0</v>
      </c>
      <c r="D9" s="4">
        <f>D4</f>
        <v>4930</v>
      </c>
      <c r="H9" s="1" t="s">
        <v>9</v>
      </c>
      <c r="J9" s="11" t="str">
        <f>IF(J$8="",".",IF(D9=0,0,MID(IF($D9&gt;0,_xlfn.BASE($D9,2,16),_xlfn.BASE($D9+65536,2,16)),ABS(16-J$8),1)))</f>
        <v>0</v>
      </c>
      <c r="K9" s="11" t="str">
        <f t="shared" ref="K9:AB20" si="0">IF(K$8="",".",MID(IF($D9&gt;0,_xlfn.BASE($D9,2,16),_xlfn.BASE($D9+65536,2,16)),ABS(16-K$8),1))</f>
        <v>0</v>
      </c>
      <c r="L9" s="11" t="str">
        <f t="shared" si="0"/>
        <v>0</v>
      </c>
      <c r="M9" s="11" t="str">
        <f t="shared" si="0"/>
        <v>1</v>
      </c>
      <c r="N9" s="11" t="str">
        <f t="shared" si="0"/>
        <v>.</v>
      </c>
      <c r="O9" s="11" t="str">
        <f t="shared" si="0"/>
        <v>0</v>
      </c>
      <c r="P9" s="11" t="str">
        <f t="shared" si="0"/>
        <v>0</v>
      </c>
      <c r="Q9" s="11" t="str">
        <f t="shared" si="0"/>
        <v>1</v>
      </c>
      <c r="R9" s="11" t="str">
        <f t="shared" si="0"/>
        <v>1</v>
      </c>
      <c r="S9" s="11" t="str">
        <f t="shared" si="0"/>
        <v>.</v>
      </c>
      <c r="T9" s="11" t="str">
        <f t="shared" si="0"/>
        <v>0</v>
      </c>
      <c r="U9" s="11" t="str">
        <f t="shared" si="0"/>
        <v>1</v>
      </c>
      <c r="V9" s="11" t="str">
        <f t="shared" si="0"/>
        <v>0</v>
      </c>
      <c r="W9" s="11" t="str">
        <f t="shared" si="0"/>
        <v>0</v>
      </c>
      <c r="X9" s="11" t="str">
        <f t="shared" si="0"/>
        <v>.</v>
      </c>
      <c r="Y9" s="11" t="str">
        <f t="shared" si="0"/>
        <v>0</v>
      </c>
      <c r="Z9" s="11" t="str">
        <f t="shared" si="0"/>
        <v>0</v>
      </c>
      <c r="AA9" s="11" t="str">
        <f t="shared" si="0"/>
        <v>1</v>
      </c>
      <c r="AB9" s="11" t="str">
        <f t="shared" si="0"/>
        <v>0</v>
      </c>
      <c r="AC9" s="6" t="s">
        <v>7</v>
      </c>
      <c r="AD9" t="str">
        <f t="shared" ref="AD9:AD20" si="1">IF(ABS(D9)&gt;=2^16,"ОШИБКА: Число не входит в 16-разрядную сетку","")</f>
        <v/>
      </c>
      <c r="AL9" s="16" t="s">
        <v>63</v>
      </c>
    </row>
    <row r="10" spans="1:38">
      <c r="A10"/>
      <c r="B10" s="1" t="s">
        <v>39</v>
      </c>
      <c r="C10" s="1" t="s">
        <v>2</v>
      </c>
      <c r="D10" s="4">
        <f>D5</f>
        <v>18130</v>
      </c>
      <c r="H10" s="1" t="s">
        <v>10</v>
      </c>
      <c r="J10" s="11" t="str">
        <f t="shared" ref="J10:J20" si="2">IF(J$8="",".",IF(D10=0,0,MID(IF($D10&gt;0,_xlfn.BASE($D10,2,16),_xlfn.BASE($D10+65536,2,16)),ABS(16-J$8),1)))</f>
        <v>0</v>
      </c>
      <c r="K10" s="11" t="str">
        <f t="shared" si="0"/>
        <v>1</v>
      </c>
      <c r="L10" s="11" t="str">
        <f t="shared" si="0"/>
        <v>0</v>
      </c>
      <c r="M10" s="11" t="str">
        <f t="shared" si="0"/>
        <v>0</v>
      </c>
      <c r="N10" s="11" t="str">
        <f t="shared" si="0"/>
        <v>.</v>
      </c>
      <c r="O10" s="11" t="str">
        <f t="shared" si="0"/>
        <v>0</v>
      </c>
      <c r="P10" s="11" t="str">
        <f t="shared" si="0"/>
        <v>1</v>
      </c>
      <c r="Q10" s="11" t="str">
        <f t="shared" si="0"/>
        <v>1</v>
      </c>
      <c r="R10" s="11" t="str">
        <f t="shared" si="0"/>
        <v>0</v>
      </c>
      <c r="S10" s="11" t="str">
        <f t="shared" si="0"/>
        <v>.</v>
      </c>
      <c r="T10" s="11" t="str">
        <f t="shared" si="0"/>
        <v>1</v>
      </c>
      <c r="U10" s="11" t="str">
        <f t="shared" si="0"/>
        <v>1</v>
      </c>
      <c r="V10" s="11" t="str">
        <f t="shared" si="0"/>
        <v>0</v>
      </c>
      <c r="W10" s="11" t="str">
        <f t="shared" si="0"/>
        <v>1</v>
      </c>
      <c r="X10" s="11" t="str">
        <f t="shared" si="0"/>
        <v>.</v>
      </c>
      <c r="Y10" s="11" t="str">
        <f t="shared" si="0"/>
        <v>0</v>
      </c>
      <c r="Z10" s="11" t="str">
        <f t="shared" si="0"/>
        <v>0</v>
      </c>
      <c r="AA10" s="11" t="str">
        <f t="shared" si="0"/>
        <v>1</v>
      </c>
      <c r="AB10" s="11" t="str">
        <f t="shared" si="0"/>
        <v>0</v>
      </c>
      <c r="AC10" s="6" t="s">
        <v>7</v>
      </c>
      <c r="AD10" t="str">
        <f t="shared" si="1"/>
        <v/>
      </c>
      <c r="AL10" s="16" t="s">
        <v>62</v>
      </c>
    </row>
    <row r="11" spans="1:38">
      <c r="A11"/>
      <c r="B11" s="1" t="s">
        <v>40</v>
      </c>
      <c r="C11" s="1" t="s">
        <v>3</v>
      </c>
      <c r="D11" s="4">
        <f>D4+D5</f>
        <v>23060</v>
      </c>
      <c r="H11" s="1" t="s">
        <v>11</v>
      </c>
      <c r="J11" s="11" t="str">
        <f t="shared" si="2"/>
        <v>0</v>
      </c>
      <c r="K11" s="11" t="str">
        <f t="shared" si="0"/>
        <v>1</v>
      </c>
      <c r="L11" s="11" t="str">
        <f t="shared" si="0"/>
        <v>0</v>
      </c>
      <c r="M11" s="11" t="str">
        <f t="shared" si="0"/>
        <v>1</v>
      </c>
      <c r="N11" s="11" t="str">
        <f t="shared" si="0"/>
        <v>.</v>
      </c>
      <c r="O11" s="11" t="str">
        <f t="shared" si="0"/>
        <v>1</v>
      </c>
      <c r="P11" s="11" t="str">
        <f t="shared" si="0"/>
        <v>0</v>
      </c>
      <c r="Q11" s="11" t="str">
        <f t="shared" si="0"/>
        <v>1</v>
      </c>
      <c r="R11" s="11" t="str">
        <f t="shared" si="0"/>
        <v>0</v>
      </c>
      <c r="S11" s="11" t="str">
        <f t="shared" si="0"/>
        <v>.</v>
      </c>
      <c r="T11" s="11" t="str">
        <f t="shared" si="0"/>
        <v>0</v>
      </c>
      <c r="U11" s="11" t="str">
        <f t="shared" si="0"/>
        <v>0</v>
      </c>
      <c r="V11" s="11" t="str">
        <f t="shared" si="0"/>
        <v>0</v>
      </c>
      <c r="W11" s="11" t="str">
        <f t="shared" si="0"/>
        <v>1</v>
      </c>
      <c r="X11" s="11" t="str">
        <f t="shared" si="0"/>
        <v>.</v>
      </c>
      <c r="Y11" s="11" t="str">
        <f t="shared" si="0"/>
        <v>0</v>
      </c>
      <c r="Z11" s="11" t="str">
        <f t="shared" si="0"/>
        <v>1</v>
      </c>
      <c r="AA11" s="11" t="str">
        <f t="shared" si="0"/>
        <v>0</v>
      </c>
      <c r="AB11" s="11" t="str">
        <f t="shared" si="0"/>
        <v>0</v>
      </c>
      <c r="AC11" s="6" t="s">
        <v>7</v>
      </c>
      <c r="AD11" t="str">
        <f t="shared" si="1"/>
        <v/>
      </c>
      <c r="AL11" s="16" t="s">
        <v>64</v>
      </c>
    </row>
    <row r="12" spans="1:38">
      <c r="A12"/>
      <c r="B12" s="1" t="s">
        <v>41</v>
      </c>
      <c r="C12" s="1" t="s">
        <v>4</v>
      </c>
      <c r="D12" s="4">
        <f>D4+D5+D5</f>
        <v>41190</v>
      </c>
      <c r="H12" s="1" t="s">
        <v>12</v>
      </c>
      <c r="J12" s="11" t="str">
        <f t="shared" si="2"/>
        <v>1</v>
      </c>
      <c r="K12" s="11" t="str">
        <f t="shared" si="0"/>
        <v>0</v>
      </c>
      <c r="L12" s="11" t="str">
        <f t="shared" si="0"/>
        <v>1</v>
      </c>
      <c r="M12" s="11" t="str">
        <f t="shared" si="0"/>
        <v>0</v>
      </c>
      <c r="N12" s="11" t="str">
        <f t="shared" si="0"/>
        <v>.</v>
      </c>
      <c r="O12" s="11" t="str">
        <f t="shared" si="0"/>
        <v>0</v>
      </c>
      <c r="P12" s="11" t="str">
        <f t="shared" si="0"/>
        <v>0</v>
      </c>
      <c r="Q12" s="11" t="str">
        <f t="shared" si="0"/>
        <v>0</v>
      </c>
      <c r="R12" s="11" t="str">
        <f t="shared" si="0"/>
        <v>0</v>
      </c>
      <c r="S12" s="11" t="str">
        <f t="shared" si="0"/>
        <v>.</v>
      </c>
      <c r="T12" s="11" t="str">
        <f t="shared" si="0"/>
        <v>1</v>
      </c>
      <c r="U12" s="11" t="str">
        <f t="shared" si="0"/>
        <v>1</v>
      </c>
      <c r="V12" s="11" t="str">
        <f t="shared" si="0"/>
        <v>1</v>
      </c>
      <c r="W12" s="11" t="str">
        <f t="shared" si="0"/>
        <v>0</v>
      </c>
      <c r="X12" s="11" t="str">
        <f t="shared" si="0"/>
        <v>.</v>
      </c>
      <c r="Y12" s="11" t="str">
        <f t="shared" si="0"/>
        <v>0</v>
      </c>
      <c r="Z12" s="11" t="str">
        <f t="shared" si="0"/>
        <v>1</v>
      </c>
      <c r="AA12" s="11" t="str">
        <f t="shared" si="0"/>
        <v>1</v>
      </c>
      <c r="AB12" s="11" t="str">
        <f t="shared" si="0"/>
        <v>0</v>
      </c>
      <c r="AC12" s="6" t="s">
        <v>7</v>
      </c>
      <c r="AD12" t="str">
        <f t="shared" si="1"/>
        <v/>
      </c>
      <c r="AL12" s="16" t="s">
        <v>65</v>
      </c>
    </row>
    <row r="13" spans="1:38">
      <c r="A13"/>
      <c r="B13" s="1" t="s">
        <v>42</v>
      </c>
      <c r="C13" s="1" t="s">
        <v>5</v>
      </c>
      <c r="D13" s="4">
        <f>D5-D4</f>
        <v>13200</v>
      </c>
      <c r="H13" s="1" t="s">
        <v>13</v>
      </c>
      <c r="J13" s="11" t="str">
        <f t="shared" si="2"/>
        <v>0</v>
      </c>
      <c r="K13" s="11" t="str">
        <f t="shared" si="0"/>
        <v>0</v>
      </c>
      <c r="L13" s="11" t="str">
        <f t="shared" si="0"/>
        <v>1</v>
      </c>
      <c r="M13" s="11" t="str">
        <f t="shared" si="0"/>
        <v>1</v>
      </c>
      <c r="N13" s="11" t="str">
        <f t="shared" si="0"/>
        <v>.</v>
      </c>
      <c r="O13" s="11" t="str">
        <f t="shared" si="0"/>
        <v>0</v>
      </c>
      <c r="P13" s="11" t="str">
        <f t="shared" si="0"/>
        <v>0</v>
      </c>
      <c r="Q13" s="11" t="str">
        <f t="shared" si="0"/>
        <v>1</v>
      </c>
      <c r="R13" s="11" t="str">
        <f t="shared" si="0"/>
        <v>1</v>
      </c>
      <c r="S13" s="11" t="str">
        <f t="shared" si="0"/>
        <v>.</v>
      </c>
      <c r="T13" s="11" t="str">
        <f t="shared" si="0"/>
        <v>1</v>
      </c>
      <c r="U13" s="11" t="str">
        <f>IF(U$8="",".",MID(IF($D13&gt;0,_xlfn.BASE($D13,2,16),_xlfn.BASE($D13+65536,2,16)),ABS(16-U$8),1))</f>
        <v>0</v>
      </c>
      <c r="V13" s="11" t="str">
        <f t="shared" si="0"/>
        <v>0</v>
      </c>
      <c r="W13" s="11" t="str">
        <f t="shared" si="0"/>
        <v>1</v>
      </c>
      <c r="X13" s="11" t="str">
        <f t="shared" si="0"/>
        <v>.</v>
      </c>
      <c r="Y13" s="11" t="str">
        <f t="shared" si="0"/>
        <v>0</v>
      </c>
      <c r="Z13" s="11" t="str">
        <f t="shared" si="0"/>
        <v>0</v>
      </c>
      <c r="AA13" s="11" t="str">
        <f t="shared" si="0"/>
        <v>0</v>
      </c>
      <c r="AB13" s="11" t="str">
        <f t="shared" si="0"/>
        <v>0</v>
      </c>
      <c r="AC13" s="6" t="s">
        <v>7</v>
      </c>
      <c r="AD13" t="str">
        <f t="shared" si="1"/>
        <v/>
      </c>
      <c r="AL13" s="16" t="s">
        <v>66</v>
      </c>
    </row>
    <row r="14" spans="1:38">
      <c r="A14"/>
      <c r="B14" s="1" t="s">
        <v>43</v>
      </c>
      <c r="C14" s="1" t="s">
        <v>27</v>
      </c>
      <c r="D14" s="4">
        <f>65536-D12</f>
        <v>24346</v>
      </c>
      <c r="H14" s="1" t="s">
        <v>14</v>
      </c>
      <c r="J14" s="11" t="str">
        <f>IF(J$8="",".",IF(D14=0,0,MID(IF($D14&gt;0,_xlfn.BASE($D14,2,16),_xlfn.BASE($D14+65536,2,16)),ABS(16-J$8),1)))</f>
        <v>0</v>
      </c>
      <c r="K14" s="11" t="str">
        <f t="shared" si="0"/>
        <v>1</v>
      </c>
      <c r="L14" s="11" t="str">
        <f t="shared" si="0"/>
        <v>0</v>
      </c>
      <c r="M14" s="11" t="str">
        <f t="shared" si="0"/>
        <v>1</v>
      </c>
      <c r="N14" s="11" t="str">
        <f t="shared" si="0"/>
        <v>.</v>
      </c>
      <c r="O14" s="11" t="str">
        <f t="shared" si="0"/>
        <v>1</v>
      </c>
      <c r="P14" s="11" t="str">
        <f t="shared" si="0"/>
        <v>1</v>
      </c>
      <c r="Q14" s="11" t="str">
        <f t="shared" si="0"/>
        <v>1</v>
      </c>
      <c r="R14" s="11" t="str">
        <f t="shared" si="0"/>
        <v>1</v>
      </c>
      <c r="S14" s="11" t="str">
        <f t="shared" si="0"/>
        <v>.</v>
      </c>
      <c r="T14" s="11" t="str">
        <f t="shared" si="0"/>
        <v>0</v>
      </c>
      <c r="U14" s="11" t="str">
        <f t="shared" si="0"/>
        <v>0</v>
      </c>
      <c r="V14" s="11" t="str">
        <f t="shared" si="0"/>
        <v>0</v>
      </c>
      <c r="W14" s="11" t="str">
        <f t="shared" si="0"/>
        <v>1</v>
      </c>
      <c r="X14" s="11" t="str">
        <f t="shared" si="0"/>
        <v>.</v>
      </c>
      <c r="Y14" s="11" t="str">
        <f t="shared" si="0"/>
        <v>1</v>
      </c>
      <c r="Z14" s="11" t="str">
        <f t="shared" si="0"/>
        <v>0</v>
      </c>
      <c r="AA14" s="11" t="str">
        <f t="shared" si="0"/>
        <v>1</v>
      </c>
      <c r="AB14" s="11" t="str">
        <f t="shared" si="0"/>
        <v>0</v>
      </c>
      <c r="AC14" s="6" t="s">
        <v>7</v>
      </c>
      <c r="AD14" t="str">
        <f t="shared" si="1"/>
        <v/>
      </c>
    </row>
    <row r="15" spans="1:38">
      <c r="A15"/>
      <c r="B15" s="1" t="s">
        <v>44</v>
      </c>
      <c r="C15" s="2" t="s">
        <v>28</v>
      </c>
      <c r="D15" s="4">
        <f>D9 * (-1)</f>
        <v>-4930</v>
      </c>
      <c r="H15" s="1" t="s">
        <v>15</v>
      </c>
      <c r="I15" s="3" t="s">
        <v>21</v>
      </c>
      <c r="J15" s="11" t="str">
        <f t="shared" si="2"/>
        <v>1</v>
      </c>
      <c r="K15" s="11" t="str">
        <f t="shared" si="0"/>
        <v>1</v>
      </c>
      <c r="L15" s="11" t="str">
        <f t="shared" si="0"/>
        <v>1</v>
      </c>
      <c r="M15" s="11" t="str">
        <f t="shared" si="0"/>
        <v>0</v>
      </c>
      <c r="N15" s="11" t="str">
        <f t="shared" si="0"/>
        <v>.</v>
      </c>
      <c r="O15" s="11" t="str">
        <f t="shared" si="0"/>
        <v>1</v>
      </c>
      <c r="P15" s="11" t="str">
        <f t="shared" si="0"/>
        <v>1</v>
      </c>
      <c r="Q15" s="11" t="str">
        <f t="shared" si="0"/>
        <v>0</v>
      </c>
      <c r="R15" s="11" t="str">
        <f t="shared" si="0"/>
        <v>0</v>
      </c>
      <c r="S15" s="11" t="str">
        <f t="shared" si="0"/>
        <v>.</v>
      </c>
      <c r="T15" s="11" t="str">
        <f t="shared" si="0"/>
        <v>1</v>
      </c>
      <c r="U15" s="11" t="str">
        <f t="shared" si="0"/>
        <v>0</v>
      </c>
      <c r="V15" s="11" t="str">
        <f t="shared" si="0"/>
        <v>1</v>
      </c>
      <c r="W15" s="11" t="str">
        <f t="shared" si="0"/>
        <v>1</v>
      </c>
      <c r="X15" s="11" t="str">
        <f t="shared" si="0"/>
        <v>.</v>
      </c>
      <c r="Y15" s="11" t="str">
        <f t="shared" si="0"/>
        <v>1</v>
      </c>
      <c r="Z15" s="11" t="str">
        <f t="shared" si="0"/>
        <v>1</v>
      </c>
      <c r="AA15" s="11" t="str">
        <f t="shared" si="0"/>
        <v>1</v>
      </c>
      <c r="AB15" s="11" t="str">
        <f t="shared" si="0"/>
        <v>0</v>
      </c>
      <c r="AC15" s="6" t="s">
        <v>7</v>
      </c>
      <c r="AD15" t="str">
        <f t="shared" si="1"/>
        <v/>
      </c>
    </row>
    <row r="16" spans="1:38">
      <c r="A16"/>
      <c r="B16" s="1" t="s">
        <v>45</v>
      </c>
      <c r="C16" s="2" t="s">
        <v>29</v>
      </c>
      <c r="D16" s="4">
        <f t="shared" ref="D16:D20" si="3">D10 * (-1)</f>
        <v>-18130</v>
      </c>
      <c r="H16" s="1" t="s">
        <v>16</v>
      </c>
      <c r="I16" s="3" t="s">
        <v>22</v>
      </c>
      <c r="J16" s="11" t="str">
        <f t="shared" si="2"/>
        <v>1</v>
      </c>
      <c r="K16" s="11" t="str">
        <f t="shared" si="0"/>
        <v>0</v>
      </c>
      <c r="L16" s="11" t="str">
        <f t="shared" si="0"/>
        <v>1</v>
      </c>
      <c r="M16" s="11" t="str">
        <f t="shared" si="0"/>
        <v>1</v>
      </c>
      <c r="N16" s="11" t="str">
        <f t="shared" si="0"/>
        <v>.</v>
      </c>
      <c r="O16" s="11" t="str">
        <f t="shared" si="0"/>
        <v>1</v>
      </c>
      <c r="P16" s="11" t="str">
        <f t="shared" si="0"/>
        <v>0</v>
      </c>
      <c r="Q16" s="11" t="str">
        <f t="shared" si="0"/>
        <v>0</v>
      </c>
      <c r="R16" s="11" t="str">
        <f t="shared" si="0"/>
        <v>1</v>
      </c>
      <c r="S16" s="11" t="str">
        <f t="shared" si="0"/>
        <v>.</v>
      </c>
      <c r="T16" s="11" t="str">
        <f t="shared" si="0"/>
        <v>0</v>
      </c>
      <c r="U16" s="11" t="str">
        <f t="shared" si="0"/>
        <v>0</v>
      </c>
      <c r="V16" s="11" t="str">
        <f t="shared" si="0"/>
        <v>1</v>
      </c>
      <c r="W16" s="11" t="str">
        <f t="shared" si="0"/>
        <v>0</v>
      </c>
      <c r="X16" s="11" t="str">
        <f t="shared" si="0"/>
        <v>.</v>
      </c>
      <c r="Y16" s="11" t="str">
        <f t="shared" si="0"/>
        <v>1</v>
      </c>
      <c r="Z16" s="11" t="str">
        <f t="shared" si="0"/>
        <v>1</v>
      </c>
      <c r="AA16" s="11" t="str">
        <f t="shared" si="0"/>
        <v>1</v>
      </c>
      <c r="AB16" s="11" t="str">
        <f t="shared" si="0"/>
        <v>0</v>
      </c>
      <c r="AC16" s="6" t="s">
        <v>7</v>
      </c>
      <c r="AD16" t="str">
        <f t="shared" si="1"/>
        <v/>
      </c>
    </row>
    <row r="17" spans="2:35">
      <c r="B17" s="1" t="s">
        <v>46</v>
      </c>
      <c r="C17" s="2" t="s">
        <v>30</v>
      </c>
      <c r="D17" s="4">
        <f>D11 * (-1)</f>
        <v>-23060</v>
      </c>
      <c r="H17" s="1" t="s">
        <v>17</v>
      </c>
      <c r="I17" s="3" t="s">
        <v>23</v>
      </c>
      <c r="J17" s="11" t="str">
        <f t="shared" si="2"/>
        <v>1</v>
      </c>
      <c r="K17" s="11" t="str">
        <f t="shared" si="0"/>
        <v>0</v>
      </c>
      <c r="L17" s="11" t="str">
        <f t="shared" si="0"/>
        <v>1</v>
      </c>
      <c r="M17" s="11" t="str">
        <f t="shared" si="0"/>
        <v>0</v>
      </c>
      <c r="N17" s="11" t="str">
        <f t="shared" si="0"/>
        <v>.</v>
      </c>
      <c r="O17" s="11" t="str">
        <f t="shared" si="0"/>
        <v>0</v>
      </c>
      <c r="P17" s="11" t="str">
        <f t="shared" si="0"/>
        <v>1</v>
      </c>
      <c r="Q17" s="11" t="str">
        <f t="shared" si="0"/>
        <v>0</v>
      </c>
      <c r="R17" s="11" t="str">
        <f t="shared" si="0"/>
        <v>1</v>
      </c>
      <c r="S17" s="11" t="str">
        <f t="shared" si="0"/>
        <v>.</v>
      </c>
      <c r="T17" s="11" t="str">
        <f t="shared" si="0"/>
        <v>1</v>
      </c>
      <c r="U17" s="11" t="str">
        <f t="shared" si="0"/>
        <v>1</v>
      </c>
      <c r="V17" s="11" t="str">
        <f t="shared" si="0"/>
        <v>1</v>
      </c>
      <c r="W17" s="11" t="str">
        <f t="shared" si="0"/>
        <v>0</v>
      </c>
      <c r="X17" s="11" t="str">
        <f t="shared" si="0"/>
        <v>.</v>
      </c>
      <c r="Y17" s="11" t="str">
        <f t="shared" si="0"/>
        <v>1</v>
      </c>
      <c r="Z17" s="11" t="str">
        <f t="shared" si="0"/>
        <v>1</v>
      </c>
      <c r="AA17" s="11" t="str">
        <f t="shared" si="0"/>
        <v>0</v>
      </c>
      <c r="AB17" s="11" t="str">
        <f t="shared" si="0"/>
        <v>0</v>
      </c>
      <c r="AC17" s="6" t="s">
        <v>7</v>
      </c>
      <c r="AD17" t="str">
        <f t="shared" si="1"/>
        <v/>
      </c>
    </row>
    <row r="18" spans="2:35">
      <c r="B18" s="1" t="s">
        <v>47</v>
      </c>
      <c r="C18" s="2" t="s">
        <v>31</v>
      </c>
      <c r="D18" s="4">
        <f t="shared" si="3"/>
        <v>-41190</v>
      </c>
      <c r="H18" s="1" t="s">
        <v>18</v>
      </c>
      <c r="I18" s="3" t="s">
        <v>24</v>
      </c>
      <c r="J18" s="11" t="str">
        <f t="shared" si="2"/>
        <v>0</v>
      </c>
      <c r="K18" s="11" t="str">
        <f>IF(K$8="",".",MID(IF($D18&gt;0,_xlfn.BASE($D18,2,16),_xlfn.BASE($D18+65536,2,16)),ABS(16-K$8),1))</f>
        <v>1</v>
      </c>
      <c r="L18" s="11" t="str">
        <f t="shared" si="0"/>
        <v>0</v>
      </c>
      <c r="M18" s="11" t="str">
        <f t="shared" si="0"/>
        <v>1</v>
      </c>
      <c r="N18" s="11" t="str">
        <f t="shared" si="0"/>
        <v>.</v>
      </c>
      <c r="O18" s="11" t="str">
        <f t="shared" si="0"/>
        <v>1</v>
      </c>
      <c r="P18" s="11" t="str">
        <f t="shared" si="0"/>
        <v>1</v>
      </c>
      <c r="Q18" s="11" t="str">
        <f t="shared" si="0"/>
        <v>1</v>
      </c>
      <c r="R18" s="11" t="str">
        <f t="shared" si="0"/>
        <v>1</v>
      </c>
      <c r="S18" s="11" t="str">
        <f t="shared" si="0"/>
        <v>.</v>
      </c>
      <c r="T18" s="11" t="str">
        <f t="shared" si="0"/>
        <v>0</v>
      </c>
      <c r="U18" s="11" t="str">
        <f t="shared" si="0"/>
        <v>0</v>
      </c>
      <c r="V18" s="11" t="str">
        <f t="shared" si="0"/>
        <v>0</v>
      </c>
      <c r="W18" s="11" t="str">
        <f t="shared" si="0"/>
        <v>1</v>
      </c>
      <c r="X18" s="11" t="str">
        <f t="shared" si="0"/>
        <v>.</v>
      </c>
      <c r="Y18" s="11" t="str">
        <f t="shared" si="0"/>
        <v>1</v>
      </c>
      <c r="Z18" s="11" t="str">
        <f t="shared" si="0"/>
        <v>0</v>
      </c>
      <c r="AA18" s="11" t="str">
        <f t="shared" si="0"/>
        <v>1</v>
      </c>
      <c r="AB18" s="11" t="str">
        <f t="shared" si="0"/>
        <v>0</v>
      </c>
      <c r="AC18" s="6" t="s">
        <v>7</v>
      </c>
      <c r="AD18" t="str">
        <f t="shared" si="1"/>
        <v/>
      </c>
    </row>
    <row r="19" spans="2:35">
      <c r="B19" s="1" t="s">
        <v>48</v>
      </c>
      <c r="C19" s="2" t="s">
        <v>32</v>
      </c>
      <c r="D19" s="4">
        <f t="shared" si="3"/>
        <v>-13200</v>
      </c>
      <c r="H19" s="1" t="s">
        <v>19</v>
      </c>
      <c r="I19" s="3" t="s">
        <v>25</v>
      </c>
      <c r="J19" s="11" t="str">
        <f>IF(J$8="",".",IF(D19=0,0,MID(IF($D19&gt;0,_xlfn.BASE($D19,2,16),_xlfn.BASE($D19+65536,2,16)),ABS(16-J$8),1)))</f>
        <v>1</v>
      </c>
      <c r="K19" s="11" t="str">
        <f t="shared" si="0"/>
        <v>1</v>
      </c>
      <c r="L19" s="11" t="str">
        <f t="shared" si="0"/>
        <v>0</v>
      </c>
      <c r="M19" s="11" t="str">
        <f t="shared" si="0"/>
        <v>0</v>
      </c>
      <c r="N19" s="11" t="str">
        <f t="shared" si="0"/>
        <v>.</v>
      </c>
      <c r="O19" s="11" t="str">
        <f t="shared" si="0"/>
        <v>1</v>
      </c>
      <c r="P19" s="11" t="str">
        <f t="shared" si="0"/>
        <v>1</v>
      </c>
      <c r="Q19" s="11" t="str">
        <f t="shared" si="0"/>
        <v>0</v>
      </c>
      <c r="R19" s="11" t="str">
        <f t="shared" si="0"/>
        <v>0</v>
      </c>
      <c r="S19" s="11" t="str">
        <f t="shared" si="0"/>
        <v>.</v>
      </c>
      <c r="T19" s="11" t="str">
        <f t="shared" si="0"/>
        <v>0</v>
      </c>
      <c r="U19" s="11" t="str">
        <f t="shared" si="0"/>
        <v>1</v>
      </c>
      <c r="V19" s="11" t="str">
        <f t="shared" si="0"/>
        <v>1</v>
      </c>
      <c r="W19" s="11" t="str">
        <f t="shared" si="0"/>
        <v>1</v>
      </c>
      <c r="X19" s="11" t="str">
        <f t="shared" si="0"/>
        <v>.</v>
      </c>
      <c r="Y19" s="11" t="str">
        <f t="shared" si="0"/>
        <v>0</v>
      </c>
      <c r="Z19" s="11" t="str">
        <f t="shared" si="0"/>
        <v>0</v>
      </c>
      <c r="AA19" s="11" t="str">
        <f t="shared" si="0"/>
        <v>0</v>
      </c>
      <c r="AB19" s="11" t="str">
        <f>IF(AB$8="",".",MID(IF($D19&gt;0,_xlfn.BASE($D19,2,16),_xlfn.BASE($D19+65536,2,16)),ABS(16-AB$8),1))</f>
        <v>0</v>
      </c>
      <c r="AC19" s="6" t="s">
        <v>7</v>
      </c>
      <c r="AD19" t="str">
        <f t="shared" si="1"/>
        <v/>
      </c>
    </row>
    <row r="20" spans="2:35">
      <c r="B20" s="1" t="s">
        <v>49</v>
      </c>
      <c r="C20" s="2" t="s">
        <v>33</v>
      </c>
      <c r="D20" s="4">
        <f t="shared" si="3"/>
        <v>-24346</v>
      </c>
      <c r="H20" s="1" t="s">
        <v>20</v>
      </c>
      <c r="I20" s="3" t="s">
        <v>26</v>
      </c>
      <c r="J20" s="11" t="str">
        <f t="shared" si="2"/>
        <v>1</v>
      </c>
      <c r="K20" s="11" t="str">
        <f t="shared" si="0"/>
        <v>0</v>
      </c>
      <c r="L20" s="11" t="str">
        <f t="shared" si="0"/>
        <v>1</v>
      </c>
      <c r="M20" s="11" t="str">
        <f t="shared" si="0"/>
        <v>0</v>
      </c>
      <c r="N20" s="11" t="str">
        <f t="shared" si="0"/>
        <v>.</v>
      </c>
      <c r="O20" s="11" t="str">
        <f t="shared" si="0"/>
        <v>0</v>
      </c>
      <c r="P20" s="11" t="str">
        <f t="shared" si="0"/>
        <v>0</v>
      </c>
      <c r="Q20" s="11" t="str">
        <f t="shared" si="0"/>
        <v>0</v>
      </c>
      <c r="R20" s="11" t="str">
        <f t="shared" si="0"/>
        <v>0</v>
      </c>
      <c r="S20" s="11" t="str">
        <f t="shared" si="0"/>
        <v>.</v>
      </c>
      <c r="T20" s="11" t="str">
        <f t="shared" si="0"/>
        <v>1</v>
      </c>
      <c r="U20" s="11" t="str">
        <f t="shared" si="0"/>
        <v>1</v>
      </c>
      <c r="V20" s="11" t="str">
        <f t="shared" si="0"/>
        <v>1</v>
      </c>
      <c r="W20" s="11" t="str">
        <f t="shared" si="0"/>
        <v>0</v>
      </c>
      <c r="X20" s="11" t="str">
        <f t="shared" si="0"/>
        <v>.</v>
      </c>
      <c r="Y20" s="11" t="str">
        <f t="shared" si="0"/>
        <v>0</v>
      </c>
      <c r="Z20" s="11" t="str">
        <f t="shared" si="0"/>
        <v>1</v>
      </c>
      <c r="AA20" s="11" t="str">
        <f t="shared" si="0"/>
        <v>1</v>
      </c>
      <c r="AB20" s="11" t="str">
        <f t="shared" si="0"/>
        <v>0</v>
      </c>
      <c r="AC20" s="6" t="s">
        <v>7</v>
      </c>
      <c r="AD20" t="str">
        <f t="shared" si="1"/>
        <v/>
      </c>
    </row>
    <row r="23" spans="2:35">
      <c r="H23" s="5" t="s">
        <v>8</v>
      </c>
      <c r="J23" s="5">
        <f t="shared" ref="J23:Z23" si="4">IF(J24=".",K23,IF((K23+J24+J25) &gt;= 2,1,0))</f>
        <v>0</v>
      </c>
      <c r="K23" s="5">
        <f t="shared" si="4"/>
        <v>0</v>
      </c>
      <c r="L23" s="5">
        <f t="shared" si="4"/>
        <v>0</v>
      </c>
      <c r="M23" s="5">
        <f t="shared" si="4"/>
        <v>0</v>
      </c>
      <c r="N23" s="5">
        <f t="shared" si="4"/>
        <v>0</v>
      </c>
      <c r="O23" s="5">
        <f t="shared" si="4"/>
        <v>0</v>
      </c>
      <c r="P23" s="5">
        <f t="shared" si="4"/>
        <v>1</v>
      </c>
      <c r="Q23" s="5">
        <f t="shared" si="4"/>
        <v>1</v>
      </c>
      <c r="R23" s="5">
        <f t="shared" si="4"/>
        <v>1</v>
      </c>
      <c r="S23" s="5">
        <f t="shared" si="4"/>
        <v>1</v>
      </c>
      <c r="T23" s="5">
        <f t="shared" si="4"/>
        <v>1</v>
      </c>
      <c r="U23" s="5">
        <f t="shared" si="4"/>
        <v>1</v>
      </c>
      <c r="V23" s="5">
        <f t="shared" si="4"/>
        <v>0</v>
      </c>
      <c r="W23" s="5">
        <f t="shared" si="4"/>
        <v>0</v>
      </c>
      <c r="X23" s="5">
        <f t="shared" si="4"/>
        <v>0</v>
      </c>
      <c r="Y23" s="5">
        <f t="shared" si="4"/>
        <v>0</v>
      </c>
      <c r="Z23" s="5">
        <f t="shared" si="4"/>
        <v>0</v>
      </c>
      <c r="AA23" s="5">
        <f>IF(AA24=".",AB23,IF((AB23+AA24+AA25) &gt;= 2,1,0))</f>
        <v>1</v>
      </c>
      <c r="AB23" s="5">
        <f>IF(AB24=".",AC23,IF((AC23+AB24+AB25) &gt;= 2,1,0))</f>
        <v>0</v>
      </c>
    </row>
    <row r="24" spans="2:35" ht="16.2">
      <c r="C24" t="s">
        <v>60</v>
      </c>
      <c r="D24" t="s">
        <v>61</v>
      </c>
      <c r="H24" s="4" t="s">
        <v>35</v>
      </c>
      <c r="J24" s="11" t="str">
        <f>J9</f>
        <v>0</v>
      </c>
      <c r="K24" s="11" t="str">
        <f t="shared" ref="K24:AB25" si="5">K9</f>
        <v>0</v>
      </c>
      <c r="L24" s="11" t="str">
        <f t="shared" si="5"/>
        <v>0</v>
      </c>
      <c r="M24" s="11" t="str">
        <f t="shared" si="5"/>
        <v>1</v>
      </c>
      <c r="N24" s="11" t="str">
        <f t="shared" si="5"/>
        <v>.</v>
      </c>
      <c r="O24" s="11" t="str">
        <f t="shared" si="5"/>
        <v>0</v>
      </c>
      <c r="P24" s="11" t="str">
        <f t="shared" si="5"/>
        <v>0</v>
      </c>
      <c r="Q24" s="11" t="str">
        <f t="shared" si="5"/>
        <v>1</v>
      </c>
      <c r="R24" s="11" t="str">
        <f t="shared" si="5"/>
        <v>1</v>
      </c>
      <c r="S24" s="11" t="str">
        <f t="shared" si="5"/>
        <v>.</v>
      </c>
      <c r="T24" s="11" t="str">
        <f t="shared" si="5"/>
        <v>0</v>
      </c>
      <c r="U24" s="11" t="str">
        <f t="shared" si="5"/>
        <v>1</v>
      </c>
      <c r="V24" s="11" t="str">
        <f t="shared" si="5"/>
        <v>0</v>
      </c>
      <c r="W24" s="11" t="str">
        <f t="shared" si="5"/>
        <v>0</v>
      </c>
      <c r="X24" s="11" t="str">
        <f t="shared" si="5"/>
        <v>.</v>
      </c>
      <c r="Y24" s="11" t="str">
        <f t="shared" si="5"/>
        <v>0</v>
      </c>
      <c r="Z24" s="11" t="str">
        <f t="shared" si="5"/>
        <v>0</v>
      </c>
      <c r="AA24" s="11" t="str">
        <f t="shared" si="5"/>
        <v>1</v>
      </c>
      <c r="AB24" s="11" t="str">
        <f t="shared" si="5"/>
        <v>0</v>
      </c>
      <c r="AC24" s="6" t="s">
        <v>7</v>
      </c>
      <c r="AF24" s="10" t="s">
        <v>50</v>
      </c>
      <c r="AG24">
        <f>D9</f>
        <v>4930</v>
      </c>
      <c r="AH24" s="6" t="s">
        <v>36</v>
      </c>
    </row>
    <row r="25" spans="2:35" ht="15" thickBot="1">
      <c r="H25" s="7" t="s">
        <v>34</v>
      </c>
      <c r="J25" s="12" t="str">
        <f>J10</f>
        <v>0</v>
      </c>
      <c r="K25" s="12" t="str">
        <f t="shared" si="5"/>
        <v>1</v>
      </c>
      <c r="L25" s="12" t="str">
        <f t="shared" si="5"/>
        <v>0</v>
      </c>
      <c r="M25" s="12" t="str">
        <f t="shared" si="5"/>
        <v>0</v>
      </c>
      <c r="N25" s="12" t="str">
        <f t="shared" si="5"/>
        <v>.</v>
      </c>
      <c r="O25" s="12" t="str">
        <f t="shared" si="5"/>
        <v>0</v>
      </c>
      <c r="P25" s="12" t="str">
        <f t="shared" si="5"/>
        <v>1</v>
      </c>
      <c r="Q25" s="12" t="str">
        <f t="shared" si="5"/>
        <v>1</v>
      </c>
      <c r="R25" s="12" t="str">
        <f t="shared" si="5"/>
        <v>0</v>
      </c>
      <c r="S25" s="12" t="str">
        <f t="shared" si="5"/>
        <v>.</v>
      </c>
      <c r="T25" s="12" t="str">
        <f t="shared" si="5"/>
        <v>1</v>
      </c>
      <c r="U25" s="12" t="str">
        <f t="shared" si="5"/>
        <v>1</v>
      </c>
      <c r="V25" s="12" t="str">
        <f t="shared" si="5"/>
        <v>0</v>
      </c>
      <c r="W25" s="12" t="str">
        <f t="shared" si="5"/>
        <v>1</v>
      </c>
      <c r="X25" s="12" t="str">
        <f t="shared" si="5"/>
        <v>.</v>
      </c>
      <c r="Y25" s="12" t="str">
        <f t="shared" si="5"/>
        <v>0</v>
      </c>
      <c r="Z25" s="12" t="str">
        <f t="shared" si="5"/>
        <v>0</v>
      </c>
      <c r="AA25" s="12" t="str">
        <f t="shared" si="5"/>
        <v>1</v>
      </c>
      <c r="AB25" s="12" t="str">
        <f t="shared" si="5"/>
        <v>0</v>
      </c>
      <c r="AC25" s="6" t="s">
        <v>7</v>
      </c>
      <c r="AF25" s="13" t="s">
        <v>51</v>
      </c>
      <c r="AG25" s="14">
        <f>D10</f>
        <v>18130</v>
      </c>
      <c r="AH25" s="6" t="s">
        <v>36</v>
      </c>
    </row>
    <row r="26" spans="2:35">
      <c r="H26" s="5" t="s">
        <v>52</v>
      </c>
      <c r="J26" s="11">
        <f t="shared" ref="J26:AA26" si="6">IF(J25=".",".",MOD(J25+J24+K23,2))</f>
        <v>0</v>
      </c>
      <c r="K26" s="11">
        <f t="shared" si="6"/>
        <v>1</v>
      </c>
      <c r="L26" s="11">
        <f t="shared" si="6"/>
        <v>0</v>
      </c>
      <c r="M26" s="11">
        <f t="shared" si="6"/>
        <v>1</v>
      </c>
      <c r="N26" s="11" t="str">
        <f t="shared" si="6"/>
        <v>.</v>
      </c>
      <c r="O26" s="11">
        <f t="shared" si="6"/>
        <v>1</v>
      </c>
      <c r="P26" s="11">
        <f t="shared" si="6"/>
        <v>0</v>
      </c>
      <c r="Q26" s="11">
        <f t="shared" si="6"/>
        <v>1</v>
      </c>
      <c r="R26" s="11">
        <f t="shared" si="6"/>
        <v>0</v>
      </c>
      <c r="S26" s="11" t="str">
        <f t="shared" si="6"/>
        <v>.</v>
      </c>
      <c r="T26" s="11">
        <f t="shared" si="6"/>
        <v>0</v>
      </c>
      <c r="U26" s="11">
        <f t="shared" si="6"/>
        <v>0</v>
      </c>
      <c r="V26" s="11">
        <f t="shared" si="6"/>
        <v>0</v>
      </c>
      <c r="W26" s="11">
        <f t="shared" si="6"/>
        <v>1</v>
      </c>
      <c r="X26" s="11" t="str">
        <f t="shared" si="6"/>
        <v>.</v>
      </c>
      <c r="Y26" s="11">
        <f t="shared" si="6"/>
        <v>0</v>
      </c>
      <c r="Z26" s="11">
        <f t="shared" si="6"/>
        <v>1</v>
      </c>
      <c r="AA26" s="11">
        <f t="shared" si="6"/>
        <v>0</v>
      </c>
      <c r="AB26" s="11">
        <f>IF(AB25=".",".",MOD(AB25+AB24+AC23,2))</f>
        <v>0</v>
      </c>
      <c r="AC26" s="8" t="s">
        <v>37</v>
      </c>
      <c r="AD26">
        <f>IF(J26=0,_xlfn.DECIMAL(J26&amp;K26&amp;L26&amp;M26&amp;O26&amp;P26&amp;Q26&amp;R26&amp;T26&amp;U26&amp;V26&amp;W26&amp;Y26&amp;Z26&amp;AA26&amp;AB26,2),(-1)*_xlfn.DECIMAL(J27&amp;K27&amp;L27&amp;M27&amp;O27&amp;P27&amp;Q27&amp;R27&amp;T27&amp;U27&amp;V27&amp;W27&amp;Y27&amp;Z27&amp;AA27&amp;AB27,2))</f>
        <v>23060</v>
      </c>
      <c r="AE26" s="6" t="s">
        <v>36</v>
      </c>
      <c r="AG26">
        <f>AG24+AG25</f>
        <v>23060</v>
      </c>
      <c r="AH26" s="6" t="s">
        <v>36</v>
      </c>
      <c r="AI26" t="str">
        <f>IF(AND(AD26=AG26,AD26&gt;=0,K28=0,AG24&gt;=0,AG25&gt;=0),$AL$9,IF(AND(OR(AND(AG24&gt;=0,AG25&lt;0),AND(AG24&lt;0,AG25&gt;=0)),AD26=AG26),$AL$11,IF(AND(AG24&gt;=0,AG25&gt;=0,Z28=1,AD26&lt;&gt;AG26),$AL$10,IF(AND(AG24&lt;0,AG25&lt;0,AD26&gt;=0,Z28=1),$AL$12,IF(AND(AG24&lt;0,AG25&lt;0,AD26=AG26),$AL$13,"Ошибка с входными данными")))))</f>
        <v>В ходе операции сложения двух неотрицательных чисел был получен корректный результат</v>
      </c>
    </row>
    <row r="27" spans="2:35">
      <c r="H27" s="5" t="s">
        <v>53</v>
      </c>
      <c r="J27" s="4" t="str">
        <f>IF(J$8="",".",MID(IF($J26=1,_xlfn.BASE(ABS(_xlfn.DECIMAL($J26&amp;$K26&amp;$L26&amp;$M26&amp;$O26&amp;$P26&amp;$Q26&amp;$R26&amp;$T26&amp;$U26&amp;$V26&amp;$W26&amp;$Y26&amp;$Z26&amp;$AA26&amp;$AB26,2)-2^16),2,16),""),ABS(16-J$8),1))</f>
        <v/>
      </c>
      <c r="K27" s="4" t="str">
        <f t="shared" ref="K27:AB27" si="7">IF(K$8="",".",MID(IF($J26=1,_xlfn.BASE(ABS(_xlfn.DECIMAL($J26&amp;$K26&amp;$L26&amp;$M26&amp;$O26&amp;$P26&amp;$Q26&amp;$R26&amp;$T26&amp;$U26&amp;$V26&amp;$W26&amp;$Y26&amp;$Z26&amp;$AA26&amp;$AB26,2)-2^16),2,16),""),ABS(16-K$8),1))</f>
        <v/>
      </c>
      <c r="L27" s="4" t="str">
        <f t="shared" si="7"/>
        <v/>
      </c>
      <c r="M27" s="4" t="str">
        <f t="shared" si="7"/>
        <v/>
      </c>
      <c r="N27" s="4" t="str">
        <f t="shared" si="7"/>
        <v>.</v>
      </c>
      <c r="O27" s="4" t="str">
        <f t="shared" si="7"/>
        <v/>
      </c>
      <c r="P27" s="4" t="str">
        <f t="shared" si="7"/>
        <v/>
      </c>
      <c r="Q27" s="4" t="str">
        <f t="shared" si="7"/>
        <v/>
      </c>
      <c r="R27" s="4" t="str">
        <f t="shared" si="7"/>
        <v/>
      </c>
      <c r="S27" s="4" t="str">
        <f t="shared" si="7"/>
        <v>.</v>
      </c>
      <c r="T27" s="4" t="str">
        <f t="shared" si="7"/>
        <v/>
      </c>
      <c r="U27" s="4" t="str">
        <f t="shared" si="7"/>
        <v/>
      </c>
      <c r="V27" s="4" t="str">
        <f t="shared" si="7"/>
        <v/>
      </c>
      <c r="W27" s="4" t="str">
        <f t="shared" si="7"/>
        <v/>
      </c>
      <c r="X27" s="4" t="str">
        <f t="shared" si="7"/>
        <v>.</v>
      </c>
      <c r="Y27" s="4" t="str">
        <f t="shared" si="7"/>
        <v/>
      </c>
      <c r="Z27" s="4" t="str">
        <f t="shared" si="7"/>
        <v/>
      </c>
      <c r="AA27" s="4" t="str">
        <f t="shared" si="7"/>
        <v/>
      </c>
      <c r="AB27" s="4" t="str">
        <f t="shared" si="7"/>
        <v/>
      </c>
    </row>
    <row r="28" spans="2:35">
      <c r="J28" t="s">
        <v>54</v>
      </c>
      <c r="K28" s="4">
        <f>J23</f>
        <v>0</v>
      </c>
      <c r="M28" t="s">
        <v>55</v>
      </c>
      <c r="N28" s="4">
        <f>MOD(T26+U26+V26+W26+Y26+Z26+AA26+AB26,2)</f>
        <v>0</v>
      </c>
      <c r="P28" t="s">
        <v>56</v>
      </c>
      <c r="Q28" s="4">
        <f>Y23</f>
        <v>0</v>
      </c>
      <c r="S28" t="s">
        <v>57</v>
      </c>
      <c r="T28" s="4">
        <f>IF(AD26=0,1,0)</f>
        <v>0</v>
      </c>
      <c r="V28" t="s">
        <v>59</v>
      </c>
      <c r="W28" s="4">
        <f>J26</f>
        <v>0</v>
      </c>
      <c r="Y28" t="s">
        <v>58</v>
      </c>
      <c r="Z28" s="4">
        <f>MOD(K23+J23,2)</f>
        <v>0</v>
      </c>
    </row>
    <row r="31" spans="2:35">
      <c r="H31" s="5" t="s">
        <v>8</v>
      </c>
      <c r="J31" s="5">
        <f t="shared" ref="J31" si="8">IF(J32=".",K31,IF((K31+J32+J33) &gt;= 2,1,0))</f>
        <v>0</v>
      </c>
      <c r="K31" s="5">
        <f t="shared" ref="K31" si="9">IF(K32=".",L31,IF((L31+K32+K33) &gt;= 2,1,0))</f>
        <v>1</v>
      </c>
      <c r="L31" s="5">
        <f t="shared" ref="L31" si="10">IF(L32=".",M31,IF((M31+L32+L33) &gt;= 2,1,0))</f>
        <v>0</v>
      </c>
      <c r="M31" s="5">
        <f t="shared" ref="M31" si="11">IF(M32=".",N31,IF((N31+M32+M33) &gt;= 2,1,0))</f>
        <v>1</v>
      </c>
      <c r="N31" s="5">
        <f t="shared" ref="N31" si="12">IF(N32=".",O31,IF((O31+N32+N33) &gt;= 2,1,0))</f>
        <v>1</v>
      </c>
      <c r="O31" s="5">
        <f t="shared" ref="O31" si="13">IF(O32=".",P31,IF((P31+O32+O33) &gt;= 2,1,0))</f>
        <v>1</v>
      </c>
      <c r="P31" s="5">
        <f t="shared" ref="P31" si="14">IF(P32=".",Q31,IF((Q31+P32+P33) &gt;= 2,1,0))</f>
        <v>1</v>
      </c>
      <c r="Q31" s="5">
        <f t="shared" ref="Q31" si="15">IF(Q32=".",R31,IF((R31+Q32+Q33) &gt;= 2,1,0))</f>
        <v>1</v>
      </c>
      <c r="R31" s="5">
        <f t="shared" ref="R31" si="16">IF(R32=".",S31,IF((S31+R32+R33) &gt;= 2,1,0))</f>
        <v>0</v>
      </c>
      <c r="S31" s="5">
        <f t="shared" ref="S31" si="17">IF(S32=".",T31,IF((T31+S32+S33) &gt;= 2,1,0))</f>
        <v>0</v>
      </c>
      <c r="T31" s="5">
        <f t="shared" ref="T31" si="18">IF(T32=".",U31,IF((U31+T32+T33) &gt;= 2,1,0))</f>
        <v>0</v>
      </c>
      <c r="U31" s="5">
        <f t="shared" ref="U31" si="19">IF(U32=".",V31,IF((V31+U32+U33) &gt;= 2,1,0))</f>
        <v>0</v>
      </c>
      <c r="V31" s="5">
        <f t="shared" ref="V31" si="20">IF(V32=".",W31,IF((W31+V32+V33) &gt;= 2,1,0))</f>
        <v>0</v>
      </c>
      <c r="W31" s="5">
        <f t="shared" ref="W31" si="21">IF(W32=".",X31,IF((X31+W32+W33) &gt;= 2,1,0))</f>
        <v>1</v>
      </c>
      <c r="X31" s="5">
        <f t="shared" ref="X31" si="22">IF(X32=".",Y31,IF((Y31+X32+X33) &gt;= 2,1,0))</f>
        <v>0</v>
      </c>
      <c r="Y31" s="5">
        <f t="shared" ref="Y31" si="23">IF(Y32=".",Z31,IF((Z31+Y32+Y33) &gt;= 2,1,0))</f>
        <v>0</v>
      </c>
      <c r="Z31" s="5">
        <f t="shared" ref="Z31" si="24">IF(Z32=".",AA31,IF((AA31+Z32+Z33) &gt;= 2,1,0))</f>
        <v>0</v>
      </c>
      <c r="AA31" s="5">
        <f>IF(AA32=".",AB31,IF((AB31+AA32+AA33) &gt;= 2,1,0))</f>
        <v>0</v>
      </c>
      <c r="AB31" s="5">
        <f>IF(AB32=".",AC31,IF((AC31+AB32+AB33) &gt;= 2,1,0))</f>
        <v>0</v>
      </c>
    </row>
    <row r="32" spans="2:35">
      <c r="H32" s="4" t="s">
        <v>68</v>
      </c>
      <c r="J32" s="11" t="str">
        <f>J10</f>
        <v>0</v>
      </c>
      <c r="K32" s="11" t="str">
        <f t="shared" ref="K32:AB32" si="25">K10</f>
        <v>1</v>
      </c>
      <c r="L32" s="11" t="str">
        <f t="shared" si="25"/>
        <v>0</v>
      </c>
      <c r="M32" s="11" t="str">
        <f t="shared" si="25"/>
        <v>0</v>
      </c>
      <c r="N32" s="11" t="str">
        <f t="shared" si="25"/>
        <v>.</v>
      </c>
      <c r="O32" s="11" t="str">
        <f t="shared" si="25"/>
        <v>0</v>
      </c>
      <c r="P32" s="11" t="str">
        <f t="shared" si="25"/>
        <v>1</v>
      </c>
      <c r="Q32" s="11" t="str">
        <f t="shared" si="25"/>
        <v>1</v>
      </c>
      <c r="R32" s="11" t="str">
        <f t="shared" si="25"/>
        <v>0</v>
      </c>
      <c r="S32" s="11" t="str">
        <f t="shared" si="25"/>
        <v>.</v>
      </c>
      <c r="T32" s="11" t="str">
        <f t="shared" si="25"/>
        <v>1</v>
      </c>
      <c r="U32" s="11" t="str">
        <f t="shared" si="25"/>
        <v>1</v>
      </c>
      <c r="V32" s="11" t="str">
        <f t="shared" si="25"/>
        <v>0</v>
      </c>
      <c r="W32" s="11" t="str">
        <f t="shared" si="25"/>
        <v>1</v>
      </c>
      <c r="X32" s="11" t="str">
        <f t="shared" si="25"/>
        <v>.</v>
      </c>
      <c r="Y32" s="11" t="str">
        <f t="shared" si="25"/>
        <v>0</v>
      </c>
      <c r="Z32" s="11" t="str">
        <f t="shared" si="25"/>
        <v>0</v>
      </c>
      <c r="AA32" s="11" t="str">
        <f t="shared" si="25"/>
        <v>1</v>
      </c>
      <c r="AB32" s="11" t="str">
        <f t="shared" si="25"/>
        <v>0</v>
      </c>
      <c r="AC32" s="6" t="s">
        <v>7</v>
      </c>
      <c r="AF32" s="1" t="s">
        <v>51</v>
      </c>
      <c r="AG32">
        <f>D10</f>
        <v>18130</v>
      </c>
      <c r="AH32" s="6" t="s">
        <v>36</v>
      </c>
    </row>
    <row r="33" spans="8:35" ht="15" thickBot="1">
      <c r="H33" s="7" t="s">
        <v>69</v>
      </c>
      <c r="J33" s="12" t="str">
        <f>J11</f>
        <v>0</v>
      </c>
      <c r="K33" s="12" t="str">
        <f t="shared" ref="K33:AB33" si="26">K11</f>
        <v>1</v>
      </c>
      <c r="L33" s="12" t="str">
        <f t="shared" si="26"/>
        <v>0</v>
      </c>
      <c r="M33" s="12" t="str">
        <f t="shared" si="26"/>
        <v>1</v>
      </c>
      <c r="N33" s="12" t="str">
        <f t="shared" si="26"/>
        <v>.</v>
      </c>
      <c r="O33" s="12" t="str">
        <f t="shared" si="26"/>
        <v>1</v>
      </c>
      <c r="P33" s="12" t="str">
        <f t="shared" si="26"/>
        <v>0</v>
      </c>
      <c r="Q33" s="12" t="str">
        <f t="shared" si="26"/>
        <v>1</v>
      </c>
      <c r="R33" s="12" t="str">
        <f t="shared" si="26"/>
        <v>0</v>
      </c>
      <c r="S33" s="12" t="str">
        <f t="shared" si="26"/>
        <v>.</v>
      </c>
      <c r="T33" s="12" t="str">
        <f t="shared" si="26"/>
        <v>0</v>
      </c>
      <c r="U33" s="12" t="str">
        <f t="shared" si="26"/>
        <v>0</v>
      </c>
      <c r="V33" s="12" t="str">
        <f t="shared" si="26"/>
        <v>0</v>
      </c>
      <c r="W33" s="12" t="str">
        <f t="shared" si="26"/>
        <v>1</v>
      </c>
      <c r="X33" s="12" t="str">
        <f t="shared" si="26"/>
        <v>.</v>
      </c>
      <c r="Y33" s="12" t="str">
        <f t="shared" si="26"/>
        <v>0</v>
      </c>
      <c r="Z33" s="12" t="str">
        <f t="shared" si="26"/>
        <v>1</v>
      </c>
      <c r="AA33" s="12" t="str">
        <f t="shared" si="26"/>
        <v>0</v>
      </c>
      <c r="AB33" s="12" t="str">
        <f t="shared" si="26"/>
        <v>0</v>
      </c>
      <c r="AC33" s="6" t="s">
        <v>7</v>
      </c>
      <c r="AF33" s="15" t="s">
        <v>67</v>
      </c>
      <c r="AG33" s="14">
        <f>D11</f>
        <v>23060</v>
      </c>
      <c r="AH33" s="6" t="s">
        <v>36</v>
      </c>
    </row>
    <row r="34" spans="8:35">
      <c r="H34" s="5" t="s">
        <v>52</v>
      </c>
      <c r="J34" s="11">
        <f t="shared" ref="J34" si="27">IF(J33=".",".",MOD(J33+J32+K31,2))</f>
        <v>1</v>
      </c>
      <c r="K34" s="11">
        <f t="shared" ref="K34" si="28">IF(K33=".",".",MOD(K33+K32+L31,2))</f>
        <v>0</v>
      </c>
      <c r="L34" s="11">
        <f t="shared" ref="L34" si="29">IF(L33=".",".",MOD(L33+L32+M31,2))</f>
        <v>1</v>
      </c>
      <c r="M34" s="11">
        <f t="shared" ref="M34" si="30">IF(M33=".",".",MOD(M33+M32+N31,2))</f>
        <v>0</v>
      </c>
      <c r="N34" s="11" t="str">
        <f t="shared" ref="N34" si="31">IF(N33=".",".",MOD(N33+N32+O31,2))</f>
        <v>.</v>
      </c>
      <c r="O34" s="11">
        <f t="shared" ref="O34" si="32">IF(O33=".",".",MOD(O33+O32+P31,2))</f>
        <v>0</v>
      </c>
      <c r="P34" s="11">
        <f t="shared" ref="P34" si="33">IF(P33=".",".",MOD(P33+P32+Q31,2))</f>
        <v>0</v>
      </c>
      <c r="Q34" s="11">
        <f t="shared" ref="Q34" si="34">IF(Q33=".",".",MOD(Q33+Q32+R31,2))</f>
        <v>0</v>
      </c>
      <c r="R34" s="11">
        <f t="shared" ref="R34" si="35">IF(R33=".",".",MOD(R33+R32+S31,2))</f>
        <v>0</v>
      </c>
      <c r="S34" s="11" t="str">
        <f t="shared" ref="S34" si="36">IF(S33=".",".",MOD(S33+S32+T31,2))</f>
        <v>.</v>
      </c>
      <c r="T34" s="11">
        <f t="shared" ref="T34" si="37">IF(T33=".",".",MOD(T33+T32+U31,2))</f>
        <v>1</v>
      </c>
      <c r="U34" s="11">
        <f t="shared" ref="U34" si="38">IF(U33=".",".",MOD(U33+U32+V31,2))</f>
        <v>1</v>
      </c>
      <c r="V34" s="11">
        <f t="shared" ref="V34" si="39">IF(V33=".",".",MOD(V33+V32+W31,2))</f>
        <v>1</v>
      </c>
      <c r="W34" s="11">
        <f t="shared" ref="W34" si="40">IF(W33=".",".",MOD(W33+W32+X31,2))</f>
        <v>0</v>
      </c>
      <c r="X34" s="11" t="str">
        <f t="shared" ref="X34" si="41">IF(X33=".",".",MOD(X33+X32+Y31,2))</f>
        <v>.</v>
      </c>
      <c r="Y34" s="11">
        <f t="shared" ref="Y34" si="42">IF(Y33=".",".",MOD(Y33+Y32+Z31,2))</f>
        <v>0</v>
      </c>
      <c r="Z34" s="11">
        <f t="shared" ref="Z34" si="43">IF(Z33=".",".",MOD(Z33+Z32+AA31,2))</f>
        <v>1</v>
      </c>
      <c r="AA34" s="11">
        <f t="shared" ref="AA34" si="44">IF(AA33=".",".",MOD(AA33+AA32+AB31,2))</f>
        <v>1</v>
      </c>
      <c r="AB34" s="11">
        <f>IF(AB33=".",".",MOD(AB33+AB32+AC31,2))</f>
        <v>0</v>
      </c>
      <c r="AC34" s="8" t="s">
        <v>37</v>
      </c>
      <c r="AD34">
        <f>IF(J34=0,_xlfn.DECIMAL(J34&amp;K34&amp;L34&amp;M34&amp;O34&amp;P34&amp;Q34&amp;R34&amp;T34&amp;U34&amp;V34&amp;W34&amp;Y34&amp;Z34&amp;AA34&amp;AB34,2),(-1)*_xlfn.DECIMAL(J35&amp;K35&amp;L35&amp;M35&amp;O35&amp;P35&amp;Q35&amp;R35&amp;T35&amp;U35&amp;V35&amp;W35&amp;Y35&amp;Z35&amp;AA35&amp;AB35,2))</f>
        <v>-24346</v>
      </c>
      <c r="AE34" s="6" t="s">
        <v>36</v>
      </c>
      <c r="AG34">
        <f>AG32+AG33</f>
        <v>41190</v>
      </c>
      <c r="AH34" s="6" t="s">
        <v>36</v>
      </c>
      <c r="AI34" t="str">
        <f>IF(AND(AD34=AG34,AD34&gt;=0,K36=0,AG32&gt;=0,AG33&gt;=0),$AL$9,IF(AND(OR(AND(AG32&gt;=0,AG33&lt;0),AND(AG32&lt;0,AG33&gt;=0)),AD34=AG34),$AL$11,IF(AND(AG32&gt;=0,AG33&gt;=0,Z36=1,AD34&lt;&gt;AG34),$AL$10,IF(AND(AG32&lt;0,AG33&lt;0,AD34&gt;=0,Z36=1),$AL$12,IF(AND(AG32&lt;0,AG33&lt;0,AD34=AG34),$AL$13,"Ошибка с входными данными")))))</f>
        <v>В ходе операции сложения положительных чисел получен отрицательный результат, что является признаком переполнения (Флаг OF)</v>
      </c>
    </row>
    <row r="35" spans="8:35">
      <c r="H35" s="5" t="s">
        <v>53</v>
      </c>
      <c r="J35" s="4" t="str">
        <f>IF(J$8="",".",MID(IF($J34=1,_xlfn.BASE(ABS(_xlfn.DECIMAL($J34&amp;$K34&amp;$L34&amp;$M34&amp;$O34&amp;$P34&amp;$Q34&amp;$R34&amp;$T34&amp;$U34&amp;$V34&amp;$W34&amp;$Y34&amp;$Z34&amp;$AA34&amp;$AB34,2)-2^16),2,16),""),ABS(16-J$8),1))</f>
        <v>0</v>
      </c>
      <c r="K35" s="4" t="str">
        <f t="shared" ref="K35" si="45">IF(K$8="",".",MID(IF($J34=1,_xlfn.BASE(ABS(_xlfn.DECIMAL($J34&amp;$K34&amp;$L34&amp;$M34&amp;$O34&amp;$P34&amp;$Q34&amp;$R34&amp;$T34&amp;$U34&amp;$V34&amp;$W34&amp;$Y34&amp;$Z34&amp;$AA34&amp;$AB34,2)-2^16),2,16),""),ABS(16-K$8),1))</f>
        <v>1</v>
      </c>
      <c r="L35" s="4" t="str">
        <f t="shared" ref="L35" si="46">IF(L$8="",".",MID(IF($J34=1,_xlfn.BASE(ABS(_xlfn.DECIMAL($J34&amp;$K34&amp;$L34&amp;$M34&amp;$O34&amp;$P34&amp;$Q34&amp;$R34&amp;$T34&amp;$U34&amp;$V34&amp;$W34&amp;$Y34&amp;$Z34&amp;$AA34&amp;$AB34,2)-2^16),2,16),""),ABS(16-L$8),1))</f>
        <v>0</v>
      </c>
      <c r="M35" s="4" t="str">
        <f t="shared" ref="M35" si="47">IF(M$8="",".",MID(IF($J34=1,_xlfn.BASE(ABS(_xlfn.DECIMAL($J34&amp;$K34&amp;$L34&amp;$M34&amp;$O34&amp;$P34&amp;$Q34&amp;$R34&amp;$T34&amp;$U34&amp;$V34&amp;$W34&amp;$Y34&amp;$Z34&amp;$AA34&amp;$AB34,2)-2^16),2,16),""),ABS(16-M$8),1))</f>
        <v>1</v>
      </c>
      <c r="N35" s="4" t="str">
        <f t="shared" ref="N35" si="48">IF(N$8="",".",MID(IF($J34=1,_xlfn.BASE(ABS(_xlfn.DECIMAL($J34&amp;$K34&amp;$L34&amp;$M34&amp;$O34&amp;$P34&amp;$Q34&amp;$R34&amp;$T34&amp;$U34&amp;$V34&amp;$W34&amp;$Y34&amp;$Z34&amp;$AA34&amp;$AB34,2)-2^16),2,16),""),ABS(16-N$8),1))</f>
        <v>.</v>
      </c>
      <c r="O35" s="4" t="str">
        <f t="shared" ref="O35" si="49">IF(O$8="",".",MID(IF($J34=1,_xlfn.BASE(ABS(_xlfn.DECIMAL($J34&amp;$K34&amp;$L34&amp;$M34&amp;$O34&amp;$P34&amp;$Q34&amp;$R34&amp;$T34&amp;$U34&amp;$V34&amp;$W34&amp;$Y34&amp;$Z34&amp;$AA34&amp;$AB34,2)-2^16),2,16),""),ABS(16-O$8),1))</f>
        <v>1</v>
      </c>
      <c r="P35" s="4" t="str">
        <f t="shared" ref="P35" si="50">IF(P$8="",".",MID(IF($J34=1,_xlfn.BASE(ABS(_xlfn.DECIMAL($J34&amp;$K34&amp;$L34&amp;$M34&amp;$O34&amp;$P34&amp;$Q34&amp;$R34&amp;$T34&amp;$U34&amp;$V34&amp;$W34&amp;$Y34&amp;$Z34&amp;$AA34&amp;$AB34,2)-2^16),2,16),""),ABS(16-P$8),1))</f>
        <v>1</v>
      </c>
      <c r="Q35" s="4" t="str">
        <f t="shared" ref="Q35" si="51">IF(Q$8="",".",MID(IF($J34=1,_xlfn.BASE(ABS(_xlfn.DECIMAL($J34&amp;$K34&amp;$L34&amp;$M34&amp;$O34&amp;$P34&amp;$Q34&amp;$R34&amp;$T34&amp;$U34&amp;$V34&amp;$W34&amp;$Y34&amp;$Z34&amp;$AA34&amp;$AB34,2)-2^16),2,16),""),ABS(16-Q$8),1))</f>
        <v>1</v>
      </c>
      <c r="R35" s="4" t="str">
        <f>IF(R$8="",".",MID(IF($J34=1,_xlfn.BASE(ABS(_xlfn.DECIMAL($J34&amp;$K34&amp;$L34&amp;$M34&amp;$O34&amp;$P34&amp;$Q34&amp;$R34&amp;$T34&amp;$U34&amp;$V34&amp;$W34&amp;$Y34&amp;$Z34&amp;$AA34&amp;$AB34,2)-2^16),2,16),""),ABS(16-R$8),1))</f>
        <v>1</v>
      </c>
      <c r="S35" s="4" t="str">
        <f t="shared" ref="S35" si="52">IF(S$8="",".",MID(IF($J34=1,_xlfn.BASE(ABS(_xlfn.DECIMAL($J34&amp;$K34&amp;$L34&amp;$M34&amp;$O34&amp;$P34&amp;$Q34&amp;$R34&amp;$T34&amp;$U34&amp;$V34&amp;$W34&amp;$Y34&amp;$Z34&amp;$AA34&amp;$AB34,2)-2^16),2,16),""),ABS(16-S$8),1))</f>
        <v>.</v>
      </c>
      <c r="T35" s="4" t="str">
        <f t="shared" ref="T35" si="53">IF(T$8="",".",MID(IF($J34=1,_xlfn.BASE(ABS(_xlfn.DECIMAL($J34&amp;$K34&amp;$L34&amp;$M34&amp;$O34&amp;$P34&amp;$Q34&amp;$R34&amp;$T34&amp;$U34&amp;$V34&amp;$W34&amp;$Y34&amp;$Z34&amp;$AA34&amp;$AB34,2)-2^16),2,16),""),ABS(16-T$8),1))</f>
        <v>0</v>
      </c>
      <c r="U35" s="4" t="str">
        <f t="shared" ref="U35" si="54">IF(U$8="",".",MID(IF($J34=1,_xlfn.BASE(ABS(_xlfn.DECIMAL($J34&amp;$K34&amp;$L34&amp;$M34&amp;$O34&amp;$P34&amp;$Q34&amp;$R34&amp;$T34&amp;$U34&amp;$V34&amp;$W34&amp;$Y34&amp;$Z34&amp;$AA34&amp;$AB34,2)-2^16),2,16),""),ABS(16-U$8),1))</f>
        <v>0</v>
      </c>
      <c r="V35" s="4" t="str">
        <f t="shared" ref="V35" si="55">IF(V$8="",".",MID(IF($J34=1,_xlfn.BASE(ABS(_xlfn.DECIMAL($J34&amp;$K34&amp;$L34&amp;$M34&amp;$O34&amp;$P34&amp;$Q34&amp;$R34&amp;$T34&amp;$U34&amp;$V34&amp;$W34&amp;$Y34&amp;$Z34&amp;$AA34&amp;$AB34,2)-2^16),2,16),""),ABS(16-V$8),1))</f>
        <v>0</v>
      </c>
      <c r="W35" s="4" t="str">
        <f t="shared" ref="W35" si="56">IF(W$8="",".",MID(IF($J34=1,_xlfn.BASE(ABS(_xlfn.DECIMAL($J34&amp;$K34&amp;$L34&amp;$M34&amp;$O34&amp;$P34&amp;$Q34&amp;$R34&amp;$T34&amp;$U34&amp;$V34&amp;$W34&amp;$Y34&amp;$Z34&amp;$AA34&amp;$AB34,2)-2^16),2,16),""),ABS(16-W$8),1))</f>
        <v>1</v>
      </c>
      <c r="X35" s="4" t="str">
        <f t="shared" ref="X35" si="57">IF(X$8="",".",MID(IF($J34=1,_xlfn.BASE(ABS(_xlfn.DECIMAL($J34&amp;$K34&amp;$L34&amp;$M34&amp;$O34&amp;$P34&amp;$Q34&amp;$R34&amp;$T34&amp;$U34&amp;$V34&amp;$W34&amp;$Y34&amp;$Z34&amp;$AA34&amp;$AB34,2)-2^16),2,16),""),ABS(16-X$8),1))</f>
        <v>.</v>
      </c>
      <c r="Y35" s="4" t="str">
        <f t="shared" ref="Y35" si="58">IF(Y$8="",".",MID(IF($J34=1,_xlfn.BASE(ABS(_xlfn.DECIMAL($J34&amp;$K34&amp;$L34&amp;$M34&amp;$O34&amp;$P34&amp;$Q34&amp;$R34&amp;$T34&amp;$U34&amp;$V34&amp;$W34&amp;$Y34&amp;$Z34&amp;$AA34&amp;$AB34,2)-2^16),2,16),""),ABS(16-Y$8),1))</f>
        <v>1</v>
      </c>
      <c r="Z35" s="4" t="str">
        <f t="shared" ref="Z35" si="59">IF(Z$8="",".",MID(IF($J34=1,_xlfn.BASE(ABS(_xlfn.DECIMAL($J34&amp;$K34&amp;$L34&amp;$M34&amp;$O34&amp;$P34&amp;$Q34&amp;$R34&amp;$T34&amp;$U34&amp;$V34&amp;$W34&amp;$Y34&amp;$Z34&amp;$AA34&amp;$AB34,2)-2^16),2,16),""),ABS(16-Z$8),1))</f>
        <v>0</v>
      </c>
      <c r="AA35" s="4" t="str">
        <f t="shared" ref="AA35" si="60">IF(AA$8="",".",MID(IF($J34=1,_xlfn.BASE(ABS(_xlfn.DECIMAL($J34&amp;$K34&amp;$L34&amp;$M34&amp;$O34&amp;$P34&amp;$Q34&amp;$R34&amp;$T34&amp;$U34&amp;$V34&amp;$W34&amp;$Y34&amp;$Z34&amp;$AA34&amp;$AB34,2)-2^16),2,16),""),ABS(16-AA$8),1))</f>
        <v>1</v>
      </c>
      <c r="AB35" s="4" t="str">
        <f t="shared" ref="AB35" si="61">IF(AB$8="",".",MID(IF($J34=1,_xlfn.BASE(ABS(_xlfn.DECIMAL($J34&amp;$K34&amp;$L34&amp;$M34&amp;$O34&amp;$P34&amp;$Q34&amp;$R34&amp;$T34&amp;$U34&amp;$V34&amp;$W34&amp;$Y34&amp;$Z34&amp;$AA34&amp;$AB34,2)-2^16),2,16),""),ABS(16-AB$8),1))</f>
        <v>0</v>
      </c>
    </row>
    <row r="36" spans="8:35">
      <c r="J36" t="s">
        <v>54</v>
      </c>
      <c r="K36" s="4">
        <f>J31</f>
        <v>0</v>
      </c>
      <c r="M36" t="s">
        <v>55</v>
      </c>
      <c r="N36" s="4">
        <f>MOD(T34+U34+V34+W34+Y34+Z34+AA34+AB34,2)</f>
        <v>1</v>
      </c>
      <c r="P36" t="s">
        <v>56</v>
      </c>
      <c r="Q36" s="4">
        <f>Y31</f>
        <v>0</v>
      </c>
      <c r="S36" t="s">
        <v>57</v>
      </c>
      <c r="T36" s="4">
        <f>IF(AD34=0,1,0)</f>
        <v>0</v>
      </c>
      <c r="V36" t="s">
        <v>59</v>
      </c>
      <c r="W36" s="4">
        <f>J34</f>
        <v>1</v>
      </c>
      <c r="Y36" t="s">
        <v>58</v>
      </c>
      <c r="Z36" s="4">
        <f>MOD(K31+J31,2)</f>
        <v>1</v>
      </c>
    </row>
    <row r="39" spans="8:35">
      <c r="H39" s="5" t="s">
        <v>8</v>
      </c>
      <c r="J39" s="5">
        <f>IF(J40=".",K39,IF((K39+J40+J41) &gt;= 2,1,0))</f>
        <v>1</v>
      </c>
      <c r="K39" s="5">
        <f t="shared" ref="K39" si="62">IF(K40=".",L39,IF((L39+K40+K41) &gt;= 2,1,0))</f>
        <v>1</v>
      </c>
      <c r="L39" s="5">
        <f t="shared" ref="L39" si="63">IF(L40=".",M39,IF((M39+L40+L41) &gt;= 2,1,0))</f>
        <v>0</v>
      </c>
      <c r="M39" s="5">
        <f t="shared" ref="M39" si="64">IF(M40=".",N39,IF((N39+M40+M41) &gt;= 2,1,0))</f>
        <v>0</v>
      </c>
      <c r="N39" s="5">
        <f t="shared" ref="N39" si="65">IF(N40=".",O39,IF((O39+N40+N41) &gt;= 2,1,0))</f>
        <v>1</v>
      </c>
      <c r="O39" s="5">
        <f t="shared" ref="O39" si="66">IF(O40=".",P39,IF((P39+O40+O41) &gt;= 2,1,0))</f>
        <v>1</v>
      </c>
      <c r="P39" s="5">
        <f t="shared" ref="P39" si="67">IF(P40=".",Q39,IF((Q39+P40+P41) &gt;= 2,1,0))</f>
        <v>1</v>
      </c>
      <c r="Q39" s="5">
        <f t="shared" ref="Q39" si="68">IF(Q40=".",R39,IF((R39+Q40+Q41) &gt;= 2,1,0))</f>
        <v>0</v>
      </c>
      <c r="R39" s="5">
        <f t="shared" ref="R39" si="69">IF(R40=".",S39,IF((S39+R40+R41) &gt;= 2,1,0))</f>
        <v>0</v>
      </c>
      <c r="S39" s="5">
        <f t="shared" ref="S39" si="70">IF(S40=".",T39,IF((T39+S40+S41) &gt;= 2,1,0))</f>
        <v>1</v>
      </c>
      <c r="T39" s="5">
        <f t="shared" ref="T39" si="71">IF(T40=".",U39,IF((U39+T40+T41) &gt;= 2,1,0))</f>
        <v>1</v>
      </c>
      <c r="U39" s="5">
        <f t="shared" ref="U39" si="72">IF(U40=".",V39,IF((V39+U40+U41) &gt;= 2,1,0))</f>
        <v>1</v>
      </c>
      <c r="V39" s="5">
        <f t="shared" ref="V39" si="73">IF(V40=".",W39,IF((W39+V40+V41) &gt;= 2,1,0))</f>
        <v>1</v>
      </c>
      <c r="W39" s="5">
        <f t="shared" ref="W39" si="74">IF(W40=".",X39,IF((X39+W40+W41) &gt;= 2,1,0))</f>
        <v>1</v>
      </c>
      <c r="X39" s="5">
        <f t="shared" ref="X39" si="75">IF(X40=".",Y39,IF((Y39+X40+X41) &gt;= 2,1,0))</f>
        <v>1</v>
      </c>
      <c r="Y39" s="5">
        <f t="shared" ref="Y39" si="76">IF(Y40=".",Z39,IF((Z39+Y40+Y41) &gt;= 2,1,0))</f>
        <v>1</v>
      </c>
      <c r="Z39" s="5">
        <f t="shared" ref="Z39" si="77">IF(Z40=".",AA39,IF((AA39+Z40+Z41) &gt;= 2,1,0))</f>
        <v>1</v>
      </c>
      <c r="AA39" s="5">
        <f>IF(AA40=".",AB39,IF((AB39+AA40+AA41) &gt;= 2,1,0))</f>
        <v>1</v>
      </c>
      <c r="AB39" s="5">
        <f>IF(AB40=".",AC39,IF((AC39+AB40+AB41) &gt;= 2,1,0))</f>
        <v>0</v>
      </c>
    </row>
    <row r="40" spans="8:35">
      <c r="H40" s="4" t="s">
        <v>68</v>
      </c>
      <c r="J40" s="11" t="str">
        <f>J10</f>
        <v>0</v>
      </c>
      <c r="K40" s="11" t="str">
        <f t="shared" ref="K40:AB40" si="78">K10</f>
        <v>1</v>
      </c>
      <c r="L40" s="11" t="str">
        <f t="shared" si="78"/>
        <v>0</v>
      </c>
      <c r="M40" s="11" t="str">
        <f t="shared" si="78"/>
        <v>0</v>
      </c>
      <c r="N40" s="11" t="str">
        <f t="shared" si="78"/>
        <v>.</v>
      </c>
      <c r="O40" s="11" t="str">
        <f t="shared" si="78"/>
        <v>0</v>
      </c>
      <c r="P40" s="11" t="str">
        <f t="shared" si="78"/>
        <v>1</v>
      </c>
      <c r="Q40" s="11" t="str">
        <f t="shared" si="78"/>
        <v>1</v>
      </c>
      <c r="R40" s="11" t="str">
        <f t="shared" si="78"/>
        <v>0</v>
      </c>
      <c r="S40" s="11" t="str">
        <f t="shared" si="78"/>
        <v>.</v>
      </c>
      <c r="T40" s="11" t="str">
        <f t="shared" si="78"/>
        <v>1</v>
      </c>
      <c r="U40" s="11" t="str">
        <f t="shared" si="78"/>
        <v>1</v>
      </c>
      <c r="V40" s="11" t="str">
        <f t="shared" si="78"/>
        <v>0</v>
      </c>
      <c r="W40" s="11" t="str">
        <f t="shared" si="78"/>
        <v>1</v>
      </c>
      <c r="X40" s="11" t="str">
        <f t="shared" si="78"/>
        <v>.</v>
      </c>
      <c r="Y40" s="11" t="str">
        <f t="shared" si="78"/>
        <v>0</v>
      </c>
      <c r="Z40" s="11" t="str">
        <f t="shared" si="78"/>
        <v>0</v>
      </c>
      <c r="AA40" s="11" t="str">
        <f t="shared" si="78"/>
        <v>1</v>
      </c>
      <c r="AB40" s="11" t="str">
        <f t="shared" si="78"/>
        <v>0</v>
      </c>
      <c r="AC40" s="6" t="s">
        <v>7</v>
      </c>
      <c r="AF40" s="1" t="s">
        <v>51</v>
      </c>
      <c r="AG40">
        <f>D10</f>
        <v>18130</v>
      </c>
      <c r="AH40" s="6" t="s">
        <v>36</v>
      </c>
    </row>
    <row r="41" spans="8:35" ht="15" thickBot="1">
      <c r="H41" s="7" t="s">
        <v>70</v>
      </c>
      <c r="J41" s="12" t="str">
        <f>J15</f>
        <v>1</v>
      </c>
      <c r="K41" s="12" t="str">
        <f t="shared" ref="K41:AB41" si="79">K15</f>
        <v>1</v>
      </c>
      <c r="L41" s="12" t="str">
        <f t="shared" si="79"/>
        <v>1</v>
      </c>
      <c r="M41" s="12" t="str">
        <f t="shared" si="79"/>
        <v>0</v>
      </c>
      <c r="N41" s="12" t="str">
        <f t="shared" si="79"/>
        <v>.</v>
      </c>
      <c r="O41" s="12" t="str">
        <f t="shared" si="79"/>
        <v>1</v>
      </c>
      <c r="P41" s="12" t="str">
        <f t="shared" si="79"/>
        <v>1</v>
      </c>
      <c r="Q41" s="12" t="str">
        <f t="shared" si="79"/>
        <v>0</v>
      </c>
      <c r="R41" s="12" t="str">
        <f t="shared" si="79"/>
        <v>0</v>
      </c>
      <c r="S41" s="12" t="str">
        <f t="shared" si="79"/>
        <v>.</v>
      </c>
      <c r="T41" s="12" t="str">
        <f t="shared" si="79"/>
        <v>1</v>
      </c>
      <c r="U41" s="12" t="str">
        <f t="shared" si="79"/>
        <v>0</v>
      </c>
      <c r="V41" s="12" t="str">
        <f t="shared" si="79"/>
        <v>1</v>
      </c>
      <c r="W41" s="12" t="str">
        <f t="shared" si="79"/>
        <v>1</v>
      </c>
      <c r="X41" s="12" t="str">
        <f t="shared" si="79"/>
        <v>.</v>
      </c>
      <c r="Y41" s="12" t="str">
        <f t="shared" si="79"/>
        <v>1</v>
      </c>
      <c r="Z41" s="12" t="str">
        <f t="shared" si="79"/>
        <v>1</v>
      </c>
      <c r="AA41" s="12" t="str">
        <f t="shared" si="79"/>
        <v>1</v>
      </c>
      <c r="AB41" s="12" t="str">
        <f t="shared" si="79"/>
        <v>0</v>
      </c>
      <c r="AC41" s="6" t="s">
        <v>7</v>
      </c>
      <c r="AF41" s="15" t="s">
        <v>71</v>
      </c>
      <c r="AG41" s="14">
        <f>D15</f>
        <v>-4930</v>
      </c>
      <c r="AH41" s="6" t="s">
        <v>36</v>
      </c>
    </row>
    <row r="42" spans="8:35">
      <c r="H42" s="5" t="s">
        <v>52</v>
      </c>
      <c r="J42" s="11">
        <f t="shared" ref="J42" si="80">IF(J41=".",".",MOD(J41+J40+K39,2))</f>
        <v>0</v>
      </c>
      <c r="K42" s="11">
        <f t="shared" ref="K42" si="81">IF(K41=".",".",MOD(K41+K40+L39,2))</f>
        <v>0</v>
      </c>
      <c r="L42" s="11">
        <f t="shared" ref="L42" si="82">IF(L41=".",".",MOD(L41+L40+M39,2))</f>
        <v>1</v>
      </c>
      <c r="M42" s="11">
        <f t="shared" ref="M42" si="83">IF(M41=".",".",MOD(M41+M40+N39,2))</f>
        <v>1</v>
      </c>
      <c r="N42" s="11" t="str">
        <f t="shared" ref="N42" si="84">IF(N41=".",".",MOD(N41+N40+O39,2))</f>
        <v>.</v>
      </c>
      <c r="O42" s="11">
        <f t="shared" ref="O42" si="85">IF(O41=".",".",MOD(O41+O40+P39,2))</f>
        <v>0</v>
      </c>
      <c r="P42" s="11">
        <f t="shared" ref="P42" si="86">IF(P41=".",".",MOD(P41+P40+Q39,2))</f>
        <v>0</v>
      </c>
      <c r="Q42" s="11">
        <f t="shared" ref="Q42" si="87">IF(Q41=".",".",MOD(Q41+Q40+R39,2))</f>
        <v>1</v>
      </c>
      <c r="R42" s="11">
        <f t="shared" ref="R42" si="88">IF(R41=".",".",MOD(R41+R40+S39,2))</f>
        <v>1</v>
      </c>
      <c r="S42" s="11" t="str">
        <f t="shared" ref="S42" si="89">IF(S41=".",".",MOD(S41+S40+T39,2))</f>
        <v>.</v>
      </c>
      <c r="T42" s="11">
        <f t="shared" ref="T42" si="90">IF(T41=".",".",MOD(T41+T40+U39,2))</f>
        <v>1</v>
      </c>
      <c r="U42" s="11">
        <f t="shared" ref="U42" si="91">IF(U41=".",".",MOD(U41+U40+V39,2))</f>
        <v>0</v>
      </c>
      <c r="V42" s="11">
        <f t="shared" ref="V42" si="92">IF(V41=".",".",MOD(V41+V40+W39,2))</f>
        <v>0</v>
      </c>
      <c r="W42" s="11">
        <f t="shared" ref="W42" si="93">IF(W41=".",".",MOD(W41+W40+X39,2))</f>
        <v>1</v>
      </c>
      <c r="X42" s="11" t="str">
        <f t="shared" ref="X42" si="94">IF(X41=".",".",MOD(X41+X40+Y39,2))</f>
        <v>.</v>
      </c>
      <c r="Y42" s="11">
        <f t="shared" ref="Y42" si="95">IF(Y41=".",".",MOD(Y41+Y40+Z39,2))</f>
        <v>0</v>
      </c>
      <c r="Z42" s="11">
        <f t="shared" ref="Z42" si="96">IF(Z41=".",".",MOD(Z41+Z40+AA39,2))</f>
        <v>0</v>
      </c>
      <c r="AA42" s="11">
        <f t="shared" ref="AA42" si="97">IF(AA41=".",".",MOD(AA41+AA40+AB39,2))</f>
        <v>0</v>
      </c>
      <c r="AB42" s="11">
        <f>IF(AB41=".",".",MOD(AB41+AB40+AC39,2))</f>
        <v>0</v>
      </c>
      <c r="AC42" s="8" t="s">
        <v>37</v>
      </c>
      <c r="AD42">
        <f>IF(J42=0,_xlfn.DECIMAL(J42&amp;K42&amp;L42&amp;M42&amp;O42&amp;P42&amp;Q42&amp;R42&amp;T42&amp;U42&amp;V42&amp;W42&amp;Y42&amp;Z42&amp;AA42&amp;AB42,2),(-1)*_xlfn.DECIMAL(J43&amp;K43&amp;L43&amp;M43&amp;O43&amp;P43&amp;Q43&amp;R43&amp;T43&amp;U43&amp;V43&amp;W43&amp;Y43&amp;Z43&amp;AA43&amp;AB43,2))</f>
        <v>13200</v>
      </c>
      <c r="AE42" s="6" t="s">
        <v>36</v>
      </c>
      <c r="AG42">
        <f>AG40+AG41</f>
        <v>13200</v>
      </c>
      <c r="AH42" s="6" t="s">
        <v>36</v>
      </c>
      <c r="AI42" t="str">
        <f>IF(AND(AD42=AG42,AD42&gt;=0,K44=0,AG40&gt;=0,AG41&gt;=0),$AL$9,IF(AND(OR(AND(AG40&gt;=0,AG41&lt;0),AND(AG40&lt;0,AG41&gt;=0)),AD42=AG42),$AL$11,IF(AND(AG40&gt;=0,AG41&gt;=0,Z44=1,AD42&lt;&gt;AG42),$AL$10,IF(AND(AG40&lt;0,AG41&lt;0,AD42&gt;=0,Z44=1),$AL$12,IF(AND(AG40&lt;0,AG41&lt;0,AD42=AG42),$AL$13,"Ошибка с входными данными")))))</f>
        <v>В ходе операции сложения неотрицательного и отрицательного чисел был получен корректный результат. При том перенос за разрядную сетку не учитывается</v>
      </c>
    </row>
    <row r="43" spans="8:35">
      <c r="H43" s="5" t="s">
        <v>53</v>
      </c>
      <c r="J43" s="4" t="str">
        <f>IF(J$8="",".",MID(IF($J42=1,_xlfn.BASE(ABS(_xlfn.DECIMAL($J42&amp;$K42&amp;$L42&amp;$M42&amp;$O42&amp;$P42&amp;$Q42&amp;$R42&amp;$T42&amp;$U42&amp;$V42&amp;$W42&amp;$Y42&amp;$Z42&amp;$AA42&amp;$AB42,2)-2^16),2,16),""),ABS(16-J$8),1))</f>
        <v/>
      </c>
      <c r="K43" s="4" t="str">
        <f t="shared" ref="K43" si="98">IF(K$8="",".",MID(IF($J42=1,_xlfn.BASE(ABS(_xlfn.DECIMAL($J42&amp;$K42&amp;$L42&amp;$M42&amp;$O42&amp;$P42&amp;$Q42&amp;$R42&amp;$T42&amp;$U42&amp;$V42&amp;$W42&amp;$Y42&amp;$Z42&amp;$AA42&amp;$AB42,2)-2^16),2,16),""),ABS(16-K$8),1))</f>
        <v/>
      </c>
      <c r="L43" s="4" t="str">
        <f t="shared" ref="L43" si="99">IF(L$8="",".",MID(IF($J42=1,_xlfn.BASE(ABS(_xlfn.DECIMAL($J42&amp;$K42&amp;$L42&amp;$M42&amp;$O42&amp;$P42&amp;$Q42&amp;$R42&amp;$T42&amp;$U42&amp;$V42&amp;$W42&amp;$Y42&amp;$Z42&amp;$AA42&amp;$AB42,2)-2^16),2,16),""),ABS(16-L$8),1))</f>
        <v/>
      </c>
      <c r="M43" s="4" t="str">
        <f t="shared" ref="M43" si="100">IF(M$8="",".",MID(IF($J42=1,_xlfn.BASE(ABS(_xlfn.DECIMAL($J42&amp;$K42&amp;$L42&amp;$M42&amp;$O42&amp;$P42&amp;$Q42&amp;$R42&amp;$T42&amp;$U42&amp;$V42&amp;$W42&amp;$Y42&amp;$Z42&amp;$AA42&amp;$AB42,2)-2^16),2,16),""),ABS(16-M$8),1))</f>
        <v/>
      </c>
      <c r="N43" s="4" t="str">
        <f t="shared" ref="N43" si="101">IF(N$8="",".",MID(IF($J42=1,_xlfn.BASE(ABS(_xlfn.DECIMAL($J42&amp;$K42&amp;$L42&amp;$M42&amp;$O42&amp;$P42&amp;$Q42&amp;$R42&amp;$T42&amp;$U42&amp;$V42&amp;$W42&amp;$Y42&amp;$Z42&amp;$AA42&amp;$AB42,2)-2^16),2,16),""),ABS(16-N$8),1))</f>
        <v>.</v>
      </c>
      <c r="O43" s="4" t="str">
        <f t="shared" ref="O43" si="102">IF(O$8="",".",MID(IF($J42=1,_xlfn.BASE(ABS(_xlfn.DECIMAL($J42&amp;$K42&amp;$L42&amp;$M42&amp;$O42&amp;$P42&amp;$Q42&amp;$R42&amp;$T42&amp;$U42&amp;$V42&amp;$W42&amp;$Y42&amp;$Z42&amp;$AA42&amp;$AB42,2)-2^16),2,16),""),ABS(16-O$8),1))</f>
        <v/>
      </c>
      <c r="P43" s="4" t="str">
        <f t="shared" ref="P43" si="103">IF(P$8="",".",MID(IF($J42=1,_xlfn.BASE(ABS(_xlfn.DECIMAL($J42&amp;$K42&amp;$L42&amp;$M42&amp;$O42&amp;$P42&amp;$Q42&amp;$R42&amp;$T42&amp;$U42&amp;$V42&amp;$W42&amp;$Y42&amp;$Z42&amp;$AA42&amp;$AB42,2)-2^16),2,16),""),ABS(16-P$8),1))</f>
        <v/>
      </c>
      <c r="Q43" s="4" t="str">
        <f t="shared" ref="Q43" si="104">IF(Q$8="",".",MID(IF($J42=1,_xlfn.BASE(ABS(_xlfn.DECIMAL($J42&amp;$K42&amp;$L42&amp;$M42&amp;$O42&amp;$P42&amp;$Q42&amp;$R42&amp;$T42&amp;$U42&amp;$V42&amp;$W42&amp;$Y42&amp;$Z42&amp;$AA42&amp;$AB42,2)-2^16),2,16),""),ABS(16-Q$8),1))</f>
        <v/>
      </c>
      <c r="R43" s="4" t="str">
        <f>IF(R$8="",".",MID(IF($J42=1,_xlfn.BASE(ABS(_xlfn.DECIMAL($J42&amp;$K42&amp;$L42&amp;$M42&amp;$O42&amp;$P42&amp;$Q42&amp;$R42&amp;$T42&amp;$U42&amp;$V42&amp;$W42&amp;$Y42&amp;$Z42&amp;$AA42&amp;$AB42,2)-2^16),2,16),""),ABS(16-R$8),1))</f>
        <v/>
      </c>
      <c r="S43" s="4" t="str">
        <f t="shared" ref="S43" si="105">IF(S$8="",".",MID(IF($J42=1,_xlfn.BASE(ABS(_xlfn.DECIMAL($J42&amp;$K42&amp;$L42&amp;$M42&amp;$O42&amp;$P42&amp;$Q42&amp;$R42&amp;$T42&amp;$U42&amp;$V42&amp;$W42&amp;$Y42&amp;$Z42&amp;$AA42&amp;$AB42,2)-2^16),2,16),""),ABS(16-S$8),1))</f>
        <v>.</v>
      </c>
      <c r="T43" s="4" t="str">
        <f t="shared" ref="T43" si="106">IF(T$8="",".",MID(IF($J42=1,_xlfn.BASE(ABS(_xlfn.DECIMAL($J42&amp;$K42&amp;$L42&amp;$M42&amp;$O42&amp;$P42&amp;$Q42&amp;$R42&amp;$T42&amp;$U42&amp;$V42&amp;$W42&amp;$Y42&amp;$Z42&amp;$AA42&amp;$AB42,2)-2^16),2,16),""),ABS(16-T$8),1))</f>
        <v/>
      </c>
      <c r="U43" s="4" t="str">
        <f t="shared" ref="U43" si="107">IF(U$8="",".",MID(IF($J42=1,_xlfn.BASE(ABS(_xlfn.DECIMAL($J42&amp;$K42&amp;$L42&amp;$M42&amp;$O42&amp;$P42&amp;$Q42&amp;$R42&amp;$T42&amp;$U42&amp;$V42&amp;$W42&amp;$Y42&amp;$Z42&amp;$AA42&amp;$AB42,2)-2^16),2,16),""),ABS(16-U$8),1))</f>
        <v/>
      </c>
      <c r="V43" s="4" t="str">
        <f t="shared" ref="V43" si="108">IF(V$8="",".",MID(IF($J42=1,_xlfn.BASE(ABS(_xlfn.DECIMAL($J42&amp;$K42&amp;$L42&amp;$M42&amp;$O42&amp;$P42&amp;$Q42&amp;$R42&amp;$T42&amp;$U42&amp;$V42&amp;$W42&amp;$Y42&amp;$Z42&amp;$AA42&amp;$AB42,2)-2^16),2,16),""),ABS(16-V$8),1))</f>
        <v/>
      </c>
      <c r="W43" s="4" t="str">
        <f t="shared" ref="W43" si="109">IF(W$8="",".",MID(IF($J42=1,_xlfn.BASE(ABS(_xlfn.DECIMAL($J42&amp;$K42&amp;$L42&amp;$M42&amp;$O42&amp;$P42&amp;$Q42&amp;$R42&amp;$T42&amp;$U42&amp;$V42&amp;$W42&amp;$Y42&amp;$Z42&amp;$AA42&amp;$AB42,2)-2^16),2,16),""),ABS(16-W$8),1))</f>
        <v/>
      </c>
      <c r="X43" s="4" t="str">
        <f t="shared" ref="X43" si="110">IF(X$8="",".",MID(IF($J42=1,_xlfn.BASE(ABS(_xlfn.DECIMAL($J42&amp;$K42&amp;$L42&amp;$M42&amp;$O42&amp;$P42&amp;$Q42&amp;$R42&amp;$T42&amp;$U42&amp;$V42&amp;$W42&amp;$Y42&amp;$Z42&amp;$AA42&amp;$AB42,2)-2^16),2,16),""),ABS(16-X$8),1))</f>
        <v>.</v>
      </c>
      <c r="Y43" s="4" t="str">
        <f t="shared" ref="Y43" si="111">IF(Y$8="",".",MID(IF($J42=1,_xlfn.BASE(ABS(_xlfn.DECIMAL($J42&amp;$K42&amp;$L42&amp;$M42&amp;$O42&amp;$P42&amp;$Q42&amp;$R42&amp;$T42&amp;$U42&amp;$V42&amp;$W42&amp;$Y42&amp;$Z42&amp;$AA42&amp;$AB42,2)-2^16),2,16),""),ABS(16-Y$8),1))</f>
        <v/>
      </c>
      <c r="Z43" s="4" t="str">
        <f t="shared" ref="Z43" si="112">IF(Z$8="",".",MID(IF($J42=1,_xlfn.BASE(ABS(_xlfn.DECIMAL($J42&amp;$K42&amp;$L42&amp;$M42&amp;$O42&amp;$P42&amp;$Q42&amp;$R42&amp;$T42&amp;$U42&amp;$V42&amp;$W42&amp;$Y42&amp;$Z42&amp;$AA42&amp;$AB42,2)-2^16),2,16),""),ABS(16-Z$8),1))</f>
        <v/>
      </c>
      <c r="AA43" s="4" t="str">
        <f t="shared" ref="AA43" si="113">IF(AA$8="",".",MID(IF($J42=1,_xlfn.BASE(ABS(_xlfn.DECIMAL($J42&amp;$K42&amp;$L42&amp;$M42&amp;$O42&amp;$P42&amp;$Q42&amp;$R42&amp;$T42&amp;$U42&amp;$V42&amp;$W42&amp;$Y42&amp;$Z42&amp;$AA42&amp;$AB42,2)-2^16),2,16),""),ABS(16-AA$8),1))</f>
        <v/>
      </c>
      <c r="AB43" s="4" t="str">
        <f t="shared" ref="AB43" si="114">IF(AB$8="",".",MID(IF($J42=1,_xlfn.BASE(ABS(_xlfn.DECIMAL($J42&amp;$K42&amp;$L42&amp;$M42&amp;$O42&amp;$P42&amp;$Q42&amp;$R42&amp;$T42&amp;$U42&amp;$V42&amp;$W42&amp;$Y42&amp;$Z42&amp;$AA42&amp;$AB42,2)-2^16),2,16),""),ABS(16-AB$8),1))</f>
        <v/>
      </c>
    </row>
    <row r="44" spans="8:35">
      <c r="J44" t="s">
        <v>54</v>
      </c>
      <c r="K44" s="4">
        <f>J39</f>
        <v>1</v>
      </c>
      <c r="M44" t="s">
        <v>55</v>
      </c>
      <c r="N44" s="4">
        <f>MOD(T42+U42+V42+W42+Y42+Z42+AA42+AB42,2)</f>
        <v>0</v>
      </c>
      <c r="P44" t="s">
        <v>56</v>
      </c>
      <c r="Q44" s="4">
        <f>Y39</f>
        <v>1</v>
      </c>
      <c r="S44" t="s">
        <v>57</v>
      </c>
      <c r="T44" s="4">
        <f>IF(AD42=0,1,0)</f>
        <v>0</v>
      </c>
      <c r="V44" t="s">
        <v>59</v>
      </c>
      <c r="W44" s="4">
        <f>J42</f>
        <v>0</v>
      </c>
      <c r="Y44" t="s">
        <v>58</v>
      </c>
      <c r="Z44" s="4">
        <f>MOD(K39+J39,2)</f>
        <v>0</v>
      </c>
    </row>
    <row r="47" spans="8:35">
      <c r="H47" s="5" t="s">
        <v>8</v>
      </c>
      <c r="J47" s="5">
        <f t="shared" ref="J47" si="115">IF(J48=".",K47,IF((K47+J48+J49) &gt;= 2,1,0))</f>
        <v>1</v>
      </c>
      <c r="K47" s="5">
        <f t="shared" ref="K47" si="116">IF(K48=".",L47,IF((L47+K48+K49) &gt;= 2,1,0))</f>
        <v>1</v>
      </c>
      <c r="L47" s="5">
        <f t="shared" ref="L47" si="117">IF(L48=".",M47,IF((M47+L48+L49) &gt;= 2,1,0))</f>
        <v>1</v>
      </c>
      <c r="M47" s="5">
        <f t="shared" ref="M47" si="118">IF(M48=".",N47,IF((N47+M48+M49) &gt;= 2,1,0))</f>
        <v>1</v>
      </c>
      <c r="N47" s="5">
        <f t="shared" ref="N47" si="119">IF(N48=".",O47,IF((O47+N48+N49) &gt;= 2,1,0))</f>
        <v>1</v>
      </c>
      <c r="O47" s="5">
        <f t="shared" ref="O47" si="120">IF(O48=".",P47,IF((P47+O48+O49) &gt;= 2,1,0))</f>
        <v>1</v>
      </c>
      <c r="P47" s="5">
        <f t="shared" ref="P47" si="121">IF(P48=".",Q47,IF((Q47+P48+P49) &gt;= 2,1,0))</f>
        <v>0</v>
      </c>
      <c r="Q47" s="5">
        <f t="shared" ref="Q47" si="122">IF(Q48=".",R47,IF((R47+Q48+Q49) &gt;= 2,1,0))</f>
        <v>0</v>
      </c>
      <c r="R47" s="5">
        <f t="shared" ref="R47" si="123">IF(R48=".",S47,IF((S47+R48+R49) &gt;= 2,1,0))</f>
        <v>0</v>
      </c>
      <c r="S47" s="5">
        <f t="shared" ref="S47" si="124">IF(S48=".",T47,IF((T47+S48+S49) &gt;= 2,1,0))</f>
        <v>0</v>
      </c>
      <c r="T47" s="5">
        <f t="shared" ref="T47" si="125">IF(T48=".",U47,IF((U47+T48+T49) &gt;= 2,1,0))</f>
        <v>0</v>
      </c>
      <c r="U47" s="5">
        <f t="shared" ref="U47" si="126">IF(U48=".",V47,IF((V47+U48+U49) &gt;= 2,1,0))</f>
        <v>0</v>
      </c>
      <c r="V47" s="5">
        <f t="shared" ref="V47" si="127">IF(V48=".",W47,IF((W47+V48+V49) &gt;= 2,1,0))</f>
        <v>1</v>
      </c>
      <c r="W47" s="5">
        <f t="shared" ref="W47" si="128">IF(W48=".",X47,IF((X47+W48+W49) &gt;= 2,1,0))</f>
        <v>1</v>
      </c>
      <c r="X47" s="5">
        <f t="shared" ref="X47" si="129">IF(X48=".",Y47,IF((Y47+X48+X49) &gt;= 2,1,0))</f>
        <v>1</v>
      </c>
      <c r="Y47" s="5">
        <f t="shared" ref="Y47" si="130">IF(Y48=".",Z47,IF((Z47+Y48+Y49) &gt;= 2,1,0))</f>
        <v>1</v>
      </c>
      <c r="Z47" s="5">
        <f t="shared" ref="Z47" si="131">IF(Z48=".",AA47,IF((AA47+Z48+Z49) &gt;= 2,1,0))</f>
        <v>1</v>
      </c>
      <c r="AA47" s="5">
        <f>IF(AA48=".",AB47,IF((AB47+AA48+AA49) &gt;= 2,1,0))</f>
        <v>1</v>
      </c>
      <c r="AB47" s="5">
        <f>IF(AB48=".",AC47,IF((AC47+AB48+AB49) &gt;= 2,1,0))</f>
        <v>0</v>
      </c>
    </row>
    <row r="48" spans="8:35">
      <c r="H48" s="4" t="s">
        <v>70</v>
      </c>
      <c r="J48" s="11" t="str">
        <f>J15</f>
        <v>1</v>
      </c>
      <c r="K48" s="11" t="str">
        <f t="shared" ref="K48:AB49" si="132">K15</f>
        <v>1</v>
      </c>
      <c r="L48" s="11" t="str">
        <f t="shared" si="132"/>
        <v>1</v>
      </c>
      <c r="M48" s="11" t="str">
        <f t="shared" si="132"/>
        <v>0</v>
      </c>
      <c r="N48" s="11" t="str">
        <f t="shared" si="132"/>
        <v>.</v>
      </c>
      <c r="O48" s="11" t="str">
        <f t="shared" si="132"/>
        <v>1</v>
      </c>
      <c r="P48" s="11" t="str">
        <f t="shared" si="132"/>
        <v>1</v>
      </c>
      <c r="Q48" s="11" t="str">
        <f t="shared" si="132"/>
        <v>0</v>
      </c>
      <c r="R48" s="11" t="str">
        <f t="shared" si="132"/>
        <v>0</v>
      </c>
      <c r="S48" s="11" t="str">
        <f t="shared" si="132"/>
        <v>.</v>
      </c>
      <c r="T48" s="11" t="str">
        <f t="shared" si="132"/>
        <v>1</v>
      </c>
      <c r="U48" s="11" t="str">
        <f t="shared" si="132"/>
        <v>0</v>
      </c>
      <c r="V48" s="11" t="str">
        <f t="shared" si="132"/>
        <v>1</v>
      </c>
      <c r="W48" s="11" t="str">
        <f t="shared" si="132"/>
        <v>1</v>
      </c>
      <c r="X48" s="11" t="str">
        <f t="shared" si="132"/>
        <v>.</v>
      </c>
      <c r="Y48" s="11" t="str">
        <f t="shared" si="132"/>
        <v>1</v>
      </c>
      <c r="Z48" s="11" t="str">
        <f t="shared" si="132"/>
        <v>1</v>
      </c>
      <c r="AA48" s="11" t="str">
        <f t="shared" si="132"/>
        <v>1</v>
      </c>
      <c r="AB48" s="11" t="str">
        <f t="shared" si="132"/>
        <v>0</v>
      </c>
      <c r="AC48" s="6" t="s">
        <v>7</v>
      </c>
      <c r="AF48" s="1" t="s">
        <v>71</v>
      </c>
      <c r="AG48">
        <f>D15</f>
        <v>-4930</v>
      </c>
      <c r="AH48" s="6" t="s">
        <v>36</v>
      </c>
    </row>
    <row r="49" spans="8:35" ht="15" thickBot="1">
      <c r="H49" s="7" t="s">
        <v>72</v>
      </c>
      <c r="J49" s="12" t="str">
        <f>J16</f>
        <v>1</v>
      </c>
      <c r="K49" s="12" t="str">
        <f t="shared" si="132"/>
        <v>0</v>
      </c>
      <c r="L49" s="12" t="str">
        <f t="shared" si="132"/>
        <v>1</v>
      </c>
      <c r="M49" s="12" t="str">
        <f t="shared" si="132"/>
        <v>1</v>
      </c>
      <c r="N49" s="12" t="str">
        <f t="shared" si="132"/>
        <v>.</v>
      </c>
      <c r="O49" s="12" t="str">
        <f t="shared" si="132"/>
        <v>1</v>
      </c>
      <c r="P49" s="12" t="str">
        <f t="shared" si="132"/>
        <v>0</v>
      </c>
      <c r="Q49" s="12" t="str">
        <f t="shared" si="132"/>
        <v>0</v>
      </c>
      <c r="R49" s="12" t="str">
        <f t="shared" si="132"/>
        <v>1</v>
      </c>
      <c r="S49" s="12" t="str">
        <f t="shared" si="132"/>
        <v>.</v>
      </c>
      <c r="T49" s="12" t="str">
        <f t="shared" si="132"/>
        <v>0</v>
      </c>
      <c r="U49" s="12" t="str">
        <f t="shared" si="132"/>
        <v>0</v>
      </c>
      <c r="V49" s="12" t="str">
        <f t="shared" si="132"/>
        <v>1</v>
      </c>
      <c r="W49" s="12" t="str">
        <f t="shared" si="132"/>
        <v>0</v>
      </c>
      <c r="X49" s="12" t="str">
        <f t="shared" si="132"/>
        <v>.</v>
      </c>
      <c r="Y49" s="12" t="str">
        <f t="shared" si="132"/>
        <v>1</v>
      </c>
      <c r="Z49" s="12" t="str">
        <f t="shared" si="132"/>
        <v>1</v>
      </c>
      <c r="AA49" s="12" t="str">
        <f t="shared" si="132"/>
        <v>1</v>
      </c>
      <c r="AB49" s="12" t="str">
        <f t="shared" si="132"/>
        <v>0</v>
      </c>
      <c r="AC49" s="6" t="s">
        <v>7</v>
      </c>
      <c r="AF49" s="15" t="s">
        <v>73</v>
      </c>
      <c r="AG49" s="14">
        <f>D16</f>
        <v>-18130</v>
      </c>
      <c r="AH49" s="6" t="s">
        <v>36</v>
      </c>
    </row>
    <row r="50" spans="8:35">
      <c r="H50" s="5" t="s">
        <v>52</v>
      </c>
      <c r="J50" s="11">
        <f t="shared" ref="J50" si="133">IF(J49=".",".",MOD(J49+J48+K47,2))</f>
        <v>1</v>
      </c>
      <c r="K50" s="11">
        <f t="shared" ref="K50" si="134">IF(K49=".",".",MOD(K49+K48+L47,2))</f>
        <v>0</v>
      </c>
      <c r="L50" s="11">
        <f t="shared" ref="L50" si="135">IF(L49=".",".",MOD(L49+L48+M47,2))</f>
        <v>1</v>
      </c>
      <c r="M50" s="11">
        <f t="shared" ref="M50" si="136">IF(M49=".",".",MOD(M49+M48+N47,2))</f>
        <v>0</v>
      </c>
      <c r="N50" s="11" t="str">
        <f t="shared" ref="N50" si="137">IF(N49=".",".",MOD(N49+N48+O47,2))</f>
        <v>.</v>
      </c>
      <c r="O50" s="11">
        <f t="shared" ref="O50" si="138">IF(O49=".",".",MOD(O49+O48+P47,2))</f>
        <v>0</v>
      </c>
      <c r="P50" s="11">
        <f t="shared" ref="P50" si="139">IF(P49=".",".",MOD(P49+P48+Q47,2))</f>
        <v>1</v>
      </c>
      <c r="Q50" s="11">
        <f t="shared" ref="Q50" si="140">IF(Q49=".",".",MOD(Q49+Q48+R47,2))</f>
        <v>0</v>
      </c>
      <c r="R50" s="11">
        <f t="shared" ref="R50" si="141">IF(R49=".",".",MOD(R49+R48+S47,2))</f>
        <v>1</v>
      </c>
      <c r="S50" s="11" t="str">
        <f t="shared" ref="S50" si="142">IF(S49=".",".",MOD(S49+S48+T47,2))</f>
        <v>.</v>
      </c>
      <c r="T50" s="11">
        <f t="shared" ref="T50" si="143">IF(T49=".",".",MOD(T49+T48+U47,2))</f>
        <v>1</v>
      </c>
      <c r="U50" s="11">
        <f t="shared" ref="U50" si="144">IF(U49=".",".",MOD(U49+U48+V47,2))</f>
        <v>1</v>
      </c>
      <c r="V50" s="11">
        <f t="shared" ref="V50" si="145">IF(V49=".",".",MOD(V49+V48+W47,2))</f>
        <v>1</v>
      </c>
      <c r="W50" s="11">
        <f t="shared" ref="W50" si="146">IF(W49=".",".",MOD(W49+W48+X47,2))</f>
        <v>0</v>
      </c>
      <c r="X50" s="11" t="str">
        <f t="shared" ref="X50" si="147">IF(X49=".",".",MOD(X49+X48+Y47,2))</f>
        <v>.</v>
      </c>
      <c r="Y50" s="11">
        <f t="shared" ref="Y50" si="148">IF(Y49=".",".",MOD(Y49+Y48+Z47,2))</f>
        <v>1</v>
      </c>
      <c r="Z50" s="11">
        <f t="shared" ref="Z50" si="149">IF(Z49=".",".",MOD(Z49+Z48+AA47,2))</f>
        <v>1</v>
      </c>
      <c r="AA50" s="11">
        <f t="shared" ref="AA50" si="150">IF(AA49=".",".",MOD(AA49+AA48+AB47,2))</f>
        <v>0</v>
      </c>
      <c r="AB50" s="11">
        <f>IF(AB49=".",".",MOD(AB49+AB48+AC47,2))</f>
        <v>0</v>
      </c>
      <c r="AC50" s="8" t="s">
        <v>37</v>
      </c>
      <c r="AD50">
        <f>IF(J50=0,_xlfn.DECIMAL(J50&amp;K50&amp;L50&amp;M50&amp;O50&amp;P50&amp;Q50&amp;R50&amp;T50&amp;U50&amp;V50&amp;W50&amp;Y50&amp;Z50&amp;AA50&amp;AB50,2),(-1)*_xlfn.DECIMAL(J51&amp;K51&amp;L51&amp;M51&amp;O51&amp;P51&amp;Q51&amp;R51&amp;T51&amp;U51&amp;V51&amp;W51&amp;Y51&amp;Z51&amp;AA51&amp;AB51,2))</f>
        <v>-23060</v>
      </c>
      <c r="AE50" s="6" t="s">
        <v>36</v>
      </c>
      <c r="AG50">
        <f>AG48+AG49</f>
        <v>-23060</v>
      </c>
      <c r="AH50" s="6" t="s">
        <v>36</v>
      </c>
      <c r="AI50" t="str">
        <f>IF(AND(AD50=AG50,AD50&gt;=0,K52=0,AG48&gt;=0,AG49&gt;=0),$AL$9,IF(AND(OR(AND(AG48&gt;=0,AG49&lt;0),AND(AG48&lt;0,AG49&gt;=0)),AD50=AG50),$AL$11,IF(AND(AG48&gt;=0,AG49&gt;=0,Z52=1,AD50&lt;&gt;AG50),$AL$10,IF(AND(AG48&lt;0,AG49&lt;0,AD50&gt;=0,Z52=1),$AL$12,IF(AND(AG48&lt;0,AG49&lt;0,AD50=AG50),$AL$13,"Ошибка с входными данными")))))</f>
        <v>В ходе операции сложения двух отрицательных чисел был получен корректный результат</v>
      </c>
    </row>
    <row r="51" spans="8:35">
      <c r="H51" s="5" t="s">
        <v>53</v>
      </c>
      <c r="J51" s="4" t="str">
        <f>IF(J$8="",".",MID(IF($J50=1,_xlfn.BASE(ABS(_xlfn.DECIMAL($J50&amp;$K50&amp;$L50&amp;$M50&amp;$O50&amp;$P50&amp;$Q50&amp;$R50&amp;$T50&amp;$U50&amp;$V50&amp;$W50&amp;$Y50&amp;$Z50&amp;$AA50&amp;$AB50,2)-2^16),2,16),""),ABS(16-J$8),1))</f>
        <v>0</v>
      </c>
      <c r="K51" s="4" t="str">
        <f t="shared" ref="K51" si="151">IF(K$8="",".",MID(IF($J50=1,_xlfn.BASE(ABS(_xlfn.DECIMAL($J50&amp;$K50&amp;$L50&amp;$M50&amp;$O50&amp;$P50&amp;$Q50&amp;$R50&amp;$T50&amp;$U50&amp;$V50&amp;$W50&amp;$Y50&amp;$Z50&amp;$AA50&amp;$AB50,2)-2^16),2,16),""),ABS(16-K$8),1))</f>
        <v>1</v>
      </c>
      <c r="L51" s="4" t="str">
        <f t="shared" ref="L51" si="152">IF(L$8="",".",MID(IF($J50=1,_xlfn.BASE(ABS(_xlfn.DECIMAL($J50&amp;$K50&amp;$L50&amp;$M50&amp;$O50&amp;$P50&amp;$Q50&amp;$R50&amp;$T50&amp;$U50&amp;$V50&amp;$W50&amp;$Y50&amp;$Z50&amp;$AA50&amp;$AB50,2)-2^16),2,16),""),ABS(16-L$8),1))</f>
        <v>0</v>
      </c>
      <c r="M51" s="4" t="str">
        <f t="shared" ref="M51" si="153">IF(M$8="",".",MID(IF($J50=1,_xlfn.BASE(ABS(_xlfn.DECIMAL($J50&amp;$K50&amp;$L50&amp;$M50&amp;$O50&amp;$P50&amp;$Q50&amp;$R50&amp;$T50&amp;$U50&amp;$V50&amp;$W50&amp;$Y50&amp;$Z50&amp;$AA50&amp;$AB50,2)-2^16),2,16),""),ABS(16-M$8),1))</f>
        <v>1</v>
      </c>
      <c r="N51" s="4" t="str">
        <f t="shared" ref="N51" si="154">IF(N$8="",".",MID(IF($J50=1,_xlfn.BASE(ABS(_xlfn.DECIMAL($J50&amp;$K50&amp;$L50&amp;$M50&amp;$O50&amp;$P50&amp;$Q50&amp;$R50&amp;$T50&amp;$U50&amp;$V50&amp;$W50&amp;$Y50&amp;$Z50&amp;$AA50&amp;$AB50,2)-2^16),2,16),""),ABS(16-N$8),1))</f>
        <v>.</v>
      </c>
      <c r="O51" s="4" t="str">
        <f t="shared" ref="O51" si="155">IF(O$8="",".",MID(IF($J50=1,_xlfn.BASE(ABS(_xlfn.DECIMAL($J50&amp;$K50&amp;$L50&amp;$M50&amp;$O50&amp;$P50&amp;$Q50&amp;$R50&amp;$T50&amp;$U50&amp;$V50&amp;$W50&amp;$Y50&amp;$Z50&amp;$AA50&amp;$AB50,2)-2^16),2,16),""),ABS(16-O$8),1))</f>
        <v>1</v>
      </c>
      <c r="P51" s="4" t="str">
        <f t="shared" ref="P51" si="156">IF(P$8="",".",MID(IF($J50=1,_xlfn.BASE(ABS(_xlfn.DECIMAL($J50&amp;$K50&amp;$L50&amp;$M50&amp;$O50&amp;$P50&amp;$Q50&amp;$R50&amp;$T50&amp;$U50&amp;$V50&amp;$W50&amp;$Y50&amp;$Z50&amp;$AA50&amp;$AB50,2)-2^16),2,16),""),ABS(16-P$8),1))</f>
        <v>0</v>
      </c>
      <c r="Q51" s="4" t="str">
        <f t="shared" ref="Q51" si="157">IF(Q$8="",".",MID(IF($J50=1,_xlfn.BASE(ABS(_xlfn.DECIMAL($J50&amp;$K50&amp;$L50&amp;$M50&amp;$O50&amp;$P50&amp;$Q50&amp;$R50&amp;$T50&amp;$U50&amp;$V50&amp;$W50&amp;$Y50&amp;$Z50&amp;$AA50&amp;$AB50,2)-2^16),2,16),""),ABS(16-Q$8),1))</f>
        <v>1</v>
      </c>
      <c r="R51" s="4" t="str">
        <f>IF(R$8="",".",MID(IF($J50=1,_xlfn.BASE(ABS(_xlfn.DECIMAL($J50&amp;$K50&amp;$L50&amp;$M50&amp;$O50&amp;$P50&amp;$Q50&amp;$R50&amp;$T50&amp;$U50&amp;$V50&amp;$W50&amp;$Y50&amp;$Z50&amp;$AA50&amp;$AB50,2)-2^16),2,16),""),ABS(16-R$8),1))</f>
        <v>0</v>
      </c>
      <c r="S51" s="4" t="str">
        <f t="shared" ref="S51" si="158">IF(S$8="",".",MID(IF($J50=1,_xlfn.BASE(ABS(_xlfn.DECIMAL($J50&amp;$K50&amp;$L50&amp;$M50&amp;$O50&amp;$P50&amp;$Q50&amp;$R50&amp;$T50&amp;$U50&amp;$V50&amp;$W50&amp;$Y50&amp;$Z50&amp;$AA50&amp;$AB50,2)-2^16),2,16),""),ABS(16-S$8),1))</f>
        <v>.</v>
      </c>
      <c r="T51" s="4" t="str">
        <f t="shared" ref="T51" si="159">IF(T$8="",".",MID(IF($J50=1,_xlfn.BASE(ABS(_xlfn.DECIMAL($J50&amp;$K50&amp;$L50&amp;$M50&amp;$O50&amp;$P50&amp;$Q50&amp;$R50&amp;$T50&amp;$U50&amp;$V50&amp;$W50&amp;$Y50&amp;$Z50&amp;$AA50&amp;$AB50,2)-2^16),2,16),""),ABS(16-T$8),1))</f>
        <v>0</v>
      </c>
      <c r="U51" s="4" t="str">
        <f t="shared" ref="U51" si="160">IF(U$8="",".",MID(IF($J50=1,_xlfn.BASE(ABS(_xlfn.DECIMAL($J50&amp;$K50&amp;$L50&amp;$M50&amp;$O50&amp;$P50&amp;$Q50&amp;$R50&amp;$T50&amp;$U50&amp;$V50&amp;$W50&amp;$Y50&amp;$Z50&amp;$AA50&amp;$AB50,2)-2^16),2,16),""),ABS(16-U$8),1))</f>
        <v>0</v>
      </c>
      <c r="V51" s="4" t="str">
        <f t="shared" ref="V51" si="161">IF(V$8="",".",MID(IF($J50=1,_xlfn.BASE(ABS(_xlfn.DECIMAL($J50&amp;$K50&amp;$L50&amp;$M50&amp;$O50&amp;$P50&amp;$Q50&amp;$R50&amp;$T50&amp;$U50&amp;$V50&amp;$W50&amp;$Y50&amp;$Z50&amp;$AA50&amp;$AB50,2)-2^16),2,16),""),ABS(16-V$8),1))</f>
        <v>0</v>
      </c>
      <c r="W51" s="4" t="str">
        <f t="shared" ref="W51" si="162">IF(W$8="",".",MID(IF($J50=1,_xlfn.BASE(ABS(_xlfn.DECIMAL($J50&amp;$K50&amp;$L50&amp;$M50&amp;$O50&amp;$P50&amp;$Q50&amp;$R50&amp;$T50&amp;$U50&amp;$V50&amp;$W50&amp;$Y50&amp;$Z50&amp;$AA50&amp;$AB50,2)-2^16),2,16),""),ABS(16-W$8),1))</f>
        <v>1</v>
      </c>
      <c r="X51" s="4" t="str">
        <f t="shared" ref="X51" si="163">IF(X$8="",".",MID(IF($J50=1,_xlfn.BASE(ABS(_xlfn.DECIMAL($J50&amp;$K50&amp;$L50&amp;$M50&amp;$O50&amp;$P50&amp;$Q50&amp;$R50&amp;$T50&amp;$U50&amp;$V50&amp;$W50&amp;$Y50&amp;$Z50&amp;$AA50&amp;$AB50,2)-2^16),2,16),""),ABS(16-X$8),1))</f>
        <v>.</v>
      </c>
      <c r="Y51" s="4" t="str">
        <f t="shared" ref="Y51" si="164">IF(Y$8="",".",MID(IF($J50=1,_xlfn.BASE(ABS(_xlfn.DECIMAL($J50&amp;$K50&amp;$L50&amp;$M50&amp;$O50&amp;$P50&amp;$Q50&amp;$R50&amp;$T50&amp;$U50&amp;$V50&amp;$W50&amp;$Y50&amp;$Z50&amp;$AA50&amp;$AB50,2)-2^16),2,16),""),ABS(16-Y$8),1))</f>
        <v>0</v>
      </c>
      <c r="Z51" s="4" t="str">
        <f t="shared" ref="Z51" si="165">IF(Z$8="",".",MID(IF($J50=1,_xlfn.BASE(ABS(_xlfn.DECIMAL($J50&amp;$K50&amp;$L50&amp;$M50&amp;$O50&amp;$P50&amp;$Q50&amp;$R50&amp;$T50&amp;$U50&amp;$V50&amp;$W50&amp;$Y50&amp;$Z50&amp;$AA50&amp;$AB50,2)-2^16),2,16),""),ABS(16-Z$8),1))</f>
        <v>1</v>
      </c>
      <c r="AA51" s="4" t="str">
        <f t="shared" ref="AA51" si="166">IF(AA$8="",".",MID(IF($J50=1,_xlfn.BASE(ABS(_xlfn.DECIMAL($J50&amp;$K50&amp;$L50&amp;$M50&amp;$O50&amp;$P50&amp;$Q50&amp;$R50&amp;$T50&amp;$U50&amp;$V50&amp;$W50&amp;$Y50&amp;$Z50&amp;$AA50&amp;$AB50,2)-2^16),2,16),""),ABS(16-AA$8),1))</f>
        <v>0</v>
      </c>
      <c r="AB51" s="4" t="str">
        <f t="shared" ref="AB51" si="167">IF(AB$8="",".",MID(IF($J50=1,_xlfn.BASE(ABS(_xlfn.DECIMAL($J50&amp;$K50&amp;$L50&amp;$M50&amp;$O50&amp;$P50&amp;$Q50&amp;$R50&amp;$T50&amp;$U50&amp;$V50&amp;$W50&amp;$Y50&amp;$Z50&amp;$AA50&amp;$AB50,2)-2^16),2,16),""),ABS(16-AB$8),1))</f>
        <v>0</v>
      </c>
    </row>
    <row r="52" spans="8:35">
      <c r="J52" t="s">
        <v>54</v>
      </c>
      <c r="K52" s="4">
        <f>J47</f>
        <v>1</v>
      </c>
      <c r="M52" t="s">
        <v>55</v>
      </c>
      <c r="N52" s="4">
        <f>MOD(T50+U50+V50+W50+Y50+Z50+AA50+AB50,2)</f>
        <v>1</v>
      </c>
      <c r="P52" t="s">
        <v>56</v>
      </c>
      <c r="Q52" s="4">
        <f>Y47</f>
        <v>1</v>
      </c>
      <c r="S52" t="s">
        <v>57</v>
      </c>
      <c r="T52" s="4">
        <f>IF(AD50=0,1,0)</f>
        <v>0</v>
      </c>
      <c r="V52" t="s">
        <v>59</v>
      </c>
      <c r="W52" s="4">
        <f>J50</f>
        <v>1</v>
      </c>
      <c r="Y52" t="s">
        <v>58</v>
      </c>
      <c r="Z52" s="4">
        <f>MOD(K47+J47,2)</f>
        <v>0</v>
      </c>
    </row>
    <row r="55" spans="8:35">
      <c r="H55" s="5" t="s">
        <v>8</v>
      </c>
      <c r="J55" s="5">
        <f>IF(J56=".",K55,IF((K55+J56+J57) &gt;= 2,1,0))</f>
        <v>1</v>
      </c>
      <c r="K55" s="5">
        <f t="shared" ref="K55" si="168">IF(K56=".",L55,IF((L55+K56+K57) &gt;= 2,1,0))</f>
        <v>0</v>
      </c>
      <c r="L55" s="5">
        <f t="shared" ref="L55" si="169">IF(L56=".",M55,IF((M55+L56+L57) &gt;= 2,1,0))</f>
        <v>1</v>
      </c>
      <c r="M55" s="5">
        <f t="shared" ref="M55" si="170">IF(M56=".",N55,IF((N55+M56+M57) &gt;= 2,1,0))</f>
        <v>0</v>
      </c>
      <c r="N55" s="5">
        <f t="shared" ref="N55" si="171">IF(N56=".",O55,IF((O55+N56+N57) &gt;= 2,1,0))</f>
        <v>0</v>
      </c>
      <c r="O55" s="5">
        <f t="shared" ref="O55" si="172">IF(O56=".",P55,IF((P55+O56+O57) &gt;= 2,1,0))</f>
        <v>0</v>
      </c>
      <c r="P55" s="5">
        <f t="shared" ref="P55" si="173">IF(P56=".",Q55,IF((Q55+P56+P57) &gt;= 2,1,0))</f>
        <v>0</v>
      </c>
      <c r="Q55" s="5">
        <f t="shared" ref="Q55" si="174">IF(Q56=".",R55,IF((R55+Q56+Q57) &gt;= 2,1,0))</f>
        <v>0</v>
      </c>
      <c r="R55" s="5">
        <f t="shared" ref="R55" si="175">IF(R56=".",S55,IF((S55+R56+R57) &gt;= 2,1,0))</f>
        <v>1</v>
      </c>
      <c r="S55" s="5">
        <f t="shared" ref="S55" si="176">IF(S56=".",T55,IF((T55+S56+S57) &gt;= 2,1,0))</f>
        <v>1</v>
      </c>
      <c r="T55" s="5">
        <f t="shared" ref="T55" si="177">IF(T56=".",U55,IF((U55+T56+T57) &gt;= 2,1,0))</f>
        <v>1</v>
      </c>
      <c r="U55" s="5">
        <f t="shared" ref="U55" si="178">IF(U56=".",V55,IF((V55+U56+U57) &gt;= 2,1,0))</f>
        <v>1</v>
      </c>
      <c r="V55" s="5">
        <f t="shared" ref="V55" si="179">IF(V56=".",W55,IF((W55+V56+V57) &gt;= 2,1,0))</f>
        <v>1</v>
      </c>
      <c r="W55" s="5">
        <f t="shared" ref="W55" si="180">IF(W56=".",X55,IF((X55+W56+W57) &gt;= 2,1,0))</f>
        <v>0</v>
      </c>
      <c r="X55" s="5">
        <f t="shared" ref="X55" si="181">IF(X56=".",Y55,IF((Y55+X56+X57) &gt;= 2,1,0))</f>
        <v>1</v>
      </c>
      <c r="Y55" s="5">
        <f t="shared" ref="Y55" si="182">IF(Y56=".",Z55,IF((Z55+Y56+Y57) &gt;= 2,1,0))</f>
        <v>1</v>
      </c>
      <c r="Z55" s="5">
        <f t="shared" ref="Z55" si="183">IF(Z56=".",AA55,IF((AA55+Z56+Z57) &gt;= 2,1,0))</f>
        <v>1</v>
      </c>
      <c r="AA55" s="5">
        <f>IF(AA56=".",AB55,IF((AB55+AA56+AA57) &gt;= 2,1,0))</f>
        <v>0</v>
      </c>
      <c r="AB55" s="5">
        <f>IF(AB56=".",AC55,IF((AC55+AB56+AB57) &gt;= 2,1,0))</f>
        <v>0</v>
      </c>
    </row>
    <row r="56" spans="8:35">
      <c r="H56" s="4" t="s">
        <v>72</v>
      </c>
      <c r="J56" s="11" t="str">
        <f>J16</f>
        <v>1</v>
      </c>
      <c r="K56" s="11" t="str">
        <f t="shared" ref="K56:AB57" si="184">K16</f>
        <v>0</v>
      </c>
      <c r="L56" s="11" t="str">
        <f t="shared" si="184"/>
        <v>1</v>
      </c>
      <c r="M56" s="11" t="str">
        <f t="shared" si="184"/>
        <v>1</v>
      </c>
      <c r="N56" s="11" t="str">
        <f t="shared" si="184"/>
        <v>.</v>
      </c>
      <c r="O56" s="11" t="str">
        <f t="shared" si="184"/>
        <v>1</v>
      </c>
      <c r="P56" s="11" t="str">
        <f t="shared" si="184"/>
        <v>0</v>
      </c>
      <c r="Q56" s="11" t="str">
        <f t="shared" si="184"/>
        <v>0</v>
      </c>
      <c r="R56" s="11" t="str">
        <f t="shared" si="184"/>
        <v>1</v>
      </c>
      <c r="S56" s="11" t="str">
        <f t="shared" si="184"/>
        <v>.</v>
      </c>
      <c r="T56" s="11" t="str">
        <f t="shared" si="184"/>
        <v>0</v>
      </c>
      <c r="U56" s="11" t="str">
        <f t="shared" si="184"/>
        <v>0</v>
      </c>
      <c r="V56" s="11" t="str">
        <f t="shared" si="184"/>
        <v>1</v>
      </c>
      <c r="W56" s="11" t="str">
        <f t="shared" si="184"/>
        <v>0</v>
      </c>
      <c r="X56" s="11" t="str">
        <f t="shared" si="184"/>
        <v>.</v>
      </c>
      <c r="Y56" s="11" t="str">
        <f t="shared" si="184"/>
        <v>1</v>
      </c>
      <c r="Z56" s="11" t="str">
        <f t="shared" si="184"/>
        <v>1</v>
      </c>
      <c r="AA56" s="11" t="str">
        <f t="shared" si="184"/>
        <v>1</v>
      </c>
      <c r="AB56" s="11" t="str">
        <f t="shared" si="184"/>
        <v>0</v>
      </c>
      <c r="AC56" s="6" t="s">
        <v>7</v>
      </c>
      <c r="AF56" s="1" t="s">
        <v>73</v>
      </c>
      <c r="AG56">
        <f>D16</f>
        <v>-18130</v>
      </c>
      <c r="AH56" s="6" t="s">
        <v>36</v>
      </c>
    </row>
    <row r="57" spans="8:35" ht="15" thickBot="1">
      <c r="H57" s="7" t="s">
        <v>74</v>
      </c>
      <c r="J57" s="12" t="str">
        <f>J17</f>
        <v>1</v>
      </c>
      <c r="K57" s="12" t="str">
        <f t="shared" si="184"/>
        <v>0</v>
      </c>
      <c r="L57" s="12" t="str">
        <f t="shared" si="184"/>
        <v>1</v>
      </c>
      <c r="M57" s="12" t="str">
        <f t="shared" si="184"/>
        <v>0</v>
      </c>
      <c r="N57" s="12" t="str">
        <f t="shared" si="184"/>
        <v>.</v>
      </c>
      <c r="O57" s="12" t="str">
        <f t="shared" si="184"/>
        <v>0</v>
      </c>
      <c r="P57" s="12" t="str">
        <f t="shared" si="184"/>
        <v>1</v>
      </c>
      <c r="Q57" s="12" t="str">
        <f t="shared" si="184"/>
        <v>0</v>
      </c>
      <c r="R57" s="12" t="str">
        <f t="shared" si="184"/>
        <v>1</v>
      </c>
      <c r="S57" s="12" t="str">
        <f t="shared" si="184"/>
        <v>.</v>
      </c>
      <c r="T57" s="12" t="str">
        <f t="shared" si="184"/>
        <v>1</v>
      </c>
      <c r="U57" s="12" t="str">
        <f t="shared" si="184"/>
        <v>1</v>
      </c>
      <c r="V57" s="12" t="str">
        <f t="shared" si="184"/>
        <v>1</v>
      </c>
      <c r="W57" s="12" t="str">
        <f t="shared" si="184"/>
        <v>0</v>
      </c>
      <c r="X57" s="12" t="str">
        <f t="shared" si="184"/>
        <v>.</v>
      </c>
      <c r="Y57" s="12" t="str">
        <f t="shared" si="184"/>
        <v>1</v>
      </c>
      <c r="Z57" s="12" t="str">
        <f t="shared" si="184"/>
        <v>1</v>
      </c>
      <c r="AA57" s="12" t="str">
        <f t="shared" si="184"/>
        <v>0</v>
      </c>
      <c r="AB57" s="12" t="str">
        <f t="shared" si="184"/>
        <v>0</v>
      </c>
      <c r="AC57" s="6" t="s">
        <v>7</v>
      </c>
      <c r="AF57" s="15" t="s">
        <v>75</v>
      </c>
      <c r="AG57" s="14">
        <f>D17</f>
        <v>-23060</v>
      </c>
      <c r="AH57" s="6" t="s">
        <v>36</v>
      </c>
    </row>
    <row r="58" spans="8:35">
      <c r="H58" s="5" t="s">
        <v>52</v>
      </c>
      <c r="J58" s="11">
        <f t="shared" ref="J58" si="185">IF(J57=".",".",MOD(J57+J56+K55,2))</f>
        <v>0</v>
      </c>
      <c r="K58" s="11">
        <f t="shared" ref="K58" si="186">IF(K57=".",".",MOD(K57+K56+L55,2))</f>
        <v>1</v>
      </c>
      <c r="L58" s="11">
        <f t="shared" ref="L58" si="187">IF(L57=".",".",MOD(L57+L56+M55,2))</f>
        <v>0</v>
      </c>
      <c r="M58" s="11">
        <f t="shared" ref="M58" si="188">IF(M57=".",".",MOD(M57+M56+N55,2))</f>
        <v>1</v>
      </c>
      <c r="N58" s="11" t="str">
        <f t="shared" ref="N58" si="189">IF(N57=".",".",MOD(N57+N56+O55,2))</f>
        <v>.</v>
      </c>
      <c r="O58" s="11">
        <f t="shared" ref="O58" si="190">IF(O57=".",".",MOD(O57+O56+P55,2))</f>
        <v>1</v>
      </c>
      <c r="P58" s="11">
        <f t="shared" ref="P58" si="191">IF(P57=".",".",MOD(P57+P56+Q55,2))</f>
        <v>1</v>
      </c>
      <c r="Q58" s="11">
        <f t="shared" ref="Q58" si="192">IF(Q57=".",".",MOD(Q57+Q56+R55,2))</f>
        <v>1</v>
      </c>
      <c r="R58" s="11">
        <f t="shared" ref="R58" si="193">IF(R57=".",".",MOD(R57+R56+S55,2))</f>
        <v>1</v>
      </c>
      <c r="S58" s="11" t="str">
        <f t="shared" ref="S58" si="194">IF(S57=".",".",MOD(S57+S56+T55,2))</f>
        <v>.</v>
      </c>
      <c r="T58" s="11">
        <f t="shared" ref="T58" si="195">IF(T57=".",".",MOD(T57+T56+U55,2))</f>
        <v>0</v>
      </c>
      <c r="U58" s="11">
        <f t="shared" ref="U58" si="196">IF(U57=".",".",MOD(U57+U56+V55,2))</f>
        <v>0</v>
      </c>
      <c r="V58" s="11">
        <f t="shared" ref="V58" si="197">IF(V57=".",".",MOD(V57+V56+W55,2))</f>
        <v>0</v>
      </c>
      <c r="W58" s="11">
        <f t="shared" ref="W58" si="198">IF(W57=".",".",MOD(W57+W56+X55,2))</f>
        <v>1</v>
      </c>
      <c r="X58" s="11" t="str">
        <f t="shared" ref="X58" si="199">IF(X57=".",".",MOD(X57+X56+Y55,2))</f>
        <v>.</v>
      </c>
      <c r="Y58" s="11">
        <f t="shared" ref="Y58" si="200">IF(Y57=".",".",MOD(Y57+Y56+Z55,2))</f>
        <v>1</v>
      </c>
      <c r="Z58" s="11">
        <f t="shared" ref="Z58" si="201">IF(Z57=".",".",MOD(Z57+Z56+AA55,2))</f>
        <v>0</v>
      </c>
      <c r="AA58" s="11">
        <f t="shared" ref="AA58" si="202">IF(AA57=".",".",MOD(AA57+AA56+AB55,2))</f>
        <v>1</v>
      </c>
      <c r="AB58" s="11">
        <f>IF(AB57=".",".",MOD(AB57+AB56+AC55,2))</f>
        <v>0</v>
      </c>
      <c r="AC58" s="8" t="s">
        <v>37</v>
      </c>
      <c r="AD58">
        <f>IF(J58=0,_xlfn.DECIMAL(J58&amp;K58&amp;L58&amp;M58&amp;O58&amp;P58&amp;Q58&amp;R58&amp;T58&amp;U58&amp;V58&amp;W58&amp;Y58&amp;Z58&amp;AA58&amp;AB58,2),(-1)*_xlfn.DECIMAL(J59&amp;K59&amp;L59&amp;M59&amp;O59&amp;P59&amp;Q59&amp;R59&amp;T59&amp;U59&amp;V59&amp;W59&amp;Y59&amp;Z59&amp;AA59&amp;AB59,2))</f>
        <v>24346</v>
      </c>
      <c r="AE58" s="6" t="s">
        <v>36</v>
      </c>
      <c r="AG58">
        <f>AG56+AG57</f>
        <v>-41190</v>
      </c>
      <c r="AH58" s="6" t="s">
        <v>36</v>
      </c>
      <c r="AI58" t="str">
        <f>IF(AND(AD58=AG58,AD58&gt;=0,K60=0,AG56&gt;=0,AG57&gt;=0),$AL$9,IF(AND(OR(AND(AG56&gt;=0,AG57&lt;0),AND(AG56&lt;0,AG57&gt;=0)),AD58=AG58),$AL$11,IF(AND(AG56&gt;=0,AG57&gt;=0,Z60=1,AD58&lt;&gt;AG58),$AL$10,IF(AND(AG56&lt;0,AG57&lt;0,AD58&gt;=0,Z60=1),$AL$12,IF(AND(AG56&lt;0,AG57&lt;0,AD58=AG58),$AL$13,"Ошибка с входными данными")))))</f>
        <v>В ходе операции сложения двух отрицательных чисел получен положительный результат, что являвется признаком переполнения и Carry flag'a (Флаг OF и CF)</v>
      </c>
    </row>
    <row r="59" spans="8:35">
      <c r="H59" s="5" t="s">
        <v>53</v>
      </c>
      <c r="J59" s="4" t="str">
        <f>IF(J$8="",".",MID(IF($J58=1,_xlfn.BASE(ABS(_xlfn.DECIMAL($J58&amp;$K58&amp;$L58&amp;$M58&amp;$O58&amp;$P58&amp;$Q58&amp;$R58&amp;$T58&amp;$U58&amp;$V58&amp;$W58&amp;$Y58&amp;$Z58&amp;$AA58&amp;$AB58,2)-2^16),2,16),""),ABS(16-J$8),1))</f>
        <v/>
      </c>
      <c r="K59" s="4" t="str">
        <f t="shared" ref="K59" si="203">IF(K$8="",".",MID(IF($J58=1,_xlfn.BASE(ABS(_xlfn.DECIMAL($J58&amp;$K58&amp;$L58&amp;$M58&amp;$O58&amp;$P58&amp;$Q58&amp;$R58&amp;$T58&amp;$U58&amp;$V58&amp;$W58&amp;$Y58&amp;$Z58&amp;$AA58&amp;$AB58,2)-2^16),2,16),""),ABS(16-K$8),1))</f>
        <v/>
      </c>
      <c r="L59" s="4" t="str">
        <f t="shared" ref="L59" si="204">IF(L$8="",".",MID(IF($J58=1,_xlfn.BASE(ABS(_xlfn.DECIMAL($J58&amp;$K58&amp;$L58&amp;$M58&amp;$O58&amp;$P58&amp;$Q58&amp;$R58&amp;$T58&amp;$U58&amp;$V58&amp;$W58&amp;$Y58&amp;$Z58&amp;$AA58&amp;$AB58,2)-2^16),2,16),""),ABS(16-L$8),1))</f>
        <v/>
      </c>
      <c r="M59" s="4" t="str">
        <f t="shared" ref="M59" si="205">IF(M$8="",".",MID(IF($J58=1,_xlfn.BASE(ABS(_xlfn.DECIMAL($J58&amp;$K58&amp;$L58&amp;$M58&amp;$O58&amp;$P58&amp;$Q58&amp;$R58&amp;$T58&amp;$U58&amp;$V58&amp;$W58&amp;$Y58&amp;$Z58&amp;$AA58&amp;$AB58,2)-2^16),2,16),""),ABS(16-M$8),1))</f>
        <v/>
      </c>
      <c r="N59" s="4" t="str">
        <f t="shared" ref="N59" si="206">IF(N$8="",".",MID(IF($J58=1,_xlfn.BASE(ABS(_xlfn.DECIMAL($J58&amp;$K58&amp;$L58&amp;$M58&amp;$O58&amp;$P58&amp;$Q58&amp;$R58&amp;$T58&amp;$U58&amp;$V58&amp;$W58&amp;$Y58&amp;$Z58&amp;$AA58&amp;$AB58,2)-2^16),2,16),""),ABS(16-N$8),1))</f>
        <v>.</v>
      </c>
      <c r="O59" s="4" t="str">
        <f t="shared" ref="O59" si="207">IF(O$8="",".",MID(IF($J58=1,_xlfn.BASE(ABS(_xlfn.DECIMAL($J58&amp;$K58&amp;$L58&amp;$M58&amp;$O58&amp;$P58&amp;$Q58&amp;$R58&amp;$T58&amp;$U58&amp;$V58&amp;$W58&amp;$Y58&amp;$Z58&amp;$AA58&amp;$AB58,2)-2^16),2,16),""),ABS(16-O$8),1))</f>
        <v/>
      </c>
      <c r="P59" s="4" t="str">
        <f t="shared" ref="P59" si="208">IF(P$8="",".",MID(IF($J58=1,_xlfn.BASE(ABS(_xlfn.DECIMAL($J58&amp;$K58&amp;$L58&amp;$M58&amp;$O58&amp;$P58&amp;$Q58&amp;$R58&amp;$T58&amp;$U58&amp;$V58&amp;$W58&amp;$Y58&amp;$Z58&amp;$AA58&amp;$AB58,2)-2^16),2,16),""),ABS(16-P$8),1))</f>
        <v/>
      </c>
      <c r="Q59" s="4" t="str">
        <f t="shared" ref="Q59" si="209">IF(Q$8="",".",MID(IF($J58=1,_xlfn.BASE(ABS(_xlfn.DECIMAL($J58&amp;$K58&amp;$L58&amp;$M58&amp;$O58&amp;$P58&amp;$Q58&amp;$R58&amp;$T58&amp;$U58&amp;$V58&amp;$W58&amp;$Y58&amp;$Z58&amp;$AA58&amp;$AB58,2)-2^16),2,16),""),ABS(16-Q$8),1))</f>
        <v/>
      </c>
      <c r="R59" s="4" t="str">
        <f>IF(R$8="",".",MID(IF($J58=1,_xlfn.BASE(ABS(_xlfn.DECIMAL($J58&amp;$K58&amp;$L58&amp;$M58&amp;$O58&amp;$P58&amp;$Q58&amp;$R58&amp;$T58&amp;$U58&amp;$V58&amp;$W58&amp;$Y58&amp;$Z58&amp;$AA58&amp;$AB58,2)-2^16),2,16),""),ABS(16-R$8),1))</f>
        <v/>
      </c>
      <c r="S59" s="4" t="str">
        <f t="shared" ref="S59" si="210">IF(S$8="",".",MID(IF($J58=1,_xlfn.BASE(ABS(_xlfn.DECIMAL($J58&amp;$K58&amp;$L58&amp;$M58&amp;$O58&amp;$P58&amp;$Q58&amp;$R58&amp;$T58&amp;$U58&amp;$V58&amp;$W58&amp;$Y58&amp;$Z58&amp;$AA58&amp;$AB58,2)-2^16),2,16),""),ABS(16-S$8),1))</f>
        <v>.</v>
      </c>
      <c r="T59" s="4" t="str">
        <f t="shared" ref="T59" si="211">IF(T$8="",".",MID(IF($J58=1,_xlfn.BASE(ABS(_xlfn.DECIMAL($J58&amp;$K58&amp;$L58&amp;$M58&amp;$O58&amp;$P58&amp;$Q58&amp;$R58&amp;$T58&amp;$U58&amp;$V58&amp;$W58&amp;$Y58&amp;$Z58&amp;$AA58&amp;$AB58,2)-2^16),2,16),""),ABS(16-T$8),1))</f>
        <v/>
      </c>
      <c r="U59" s="4" t="str">
        <f t="shared" ref="U59" si="212">IF(U$8="",".",MID(IF($J58=1,_xlfn.BASE(ABS(_xlfn.DECIMAL($J58&amp;$K58&amp;$L58&amp;$M58&amp;$O58&amp;$P58&amp;$Q58&amp;$R58&amp;$T58&amp;$U58&amp;$V58&amp;$W58&amp;$Y58&amp;$Z58&amp;$AA58&amp;$AB58,2)-2^16),2,16),""),ABS(16-U$8),1))</f>
        <v/>
      </c>
      <c r="V59" s="4" t="str">
        <f t="shared" ref="V59" si="213">IF(V$8="",".",MID(IF($J58=1,_xlfn.BASE(ABS(_xlfn.DECIMAL($J58&amp;$K58&amp;$L58&amp;$M58&amp;$O58&amp;$P58&amp;$Q58&amp;$R58&amp;$T58&amp;$U58&amp;$V58&amp;$W58&amp;$Y58&amp;$Z58&amp;$AA58&amp;$AB58,2)-2^16),2,16),""),ABS(16-V$8),1))</f>
        <v/>
      </c>
      <c r="W59" s="4" t="str">
        <f t="shared" ref="W59" si="214">IF(W$8="",".",MID(IF($J58=1,_xlfn.BASE(ABS(_xlfn.DECIMAL($J58&amp;$K58&amp;$L58&amp;$M58&amp;$O58&amp;$P58&amp;$Q58&amp;$R58&amp;$T58&amp;$U58&amp;$V58&amp;$W58&amp;$Y58&amp;$Z58&amp;$AA58&amp;$AB58,2)-2^16),2,16),""),ABS(16-W$8),1))</f>
        <v/>
      </c>
      <c r="X59" s="4" t="str">
        <f t="shared" ref="X59" si="215">IF(X$8="",".",MID(IF($J58=1,_xlfn.BASE(ABS(_xlfn.DECIMAL($J58&amp;$K58&amp;$L58&amp;$M58&amp;$O58&amp;$P58&amp;$Q58&amp;$R58&amp;$T58&amp;$U58&amp;$V58&amp;$W58&amp;$Y58&amp;$Z58&amp;$AA58&amp;$AB58,2)-2^16),2,16),""),ABS(16-X$8),1))</f>
        <v>.</v>
      </c>
      <c r="Y59" s="4" t="str">
        <f t="shared" ref="Y59" si="216">IF(Y$8="",".",MID(IF($J58=1,_xlfn.BASE(ABS(_xlfn.DECIMAL($J58&amp;$K58&amp;$L58&amp;$M58&amp;$O58&amp;$P58&amp;$Q58&amp;$R58&amp;$T58&amp;$U58&amp;$V58&amp;$W58&amp;$Y58&amp;$Z58&amp;$AA58&amp;$AB58,2)-2^16),2,16),""),ABS(16-Y$8),1))</f>
        <v/>
      </c>
      <c r="Z59" s="4" t="str">
        <f t="shared" ref="Z59" si="217">IF(Z$8="",".",MID(IF($J58=1,_xlfn.BASE(ABS(_xlfn.DECIMAL($J58&amp;$K58&amp;$L58&amp;$M58&amp;$O58&amp;$P58&amp;$Q58&amp;$R58&amp;$T58&amp;$U58&amp;$V58&amp;$W58&amp;$Y58&amp;$Z58&amp;$AA58&amp;$AB58,2)-2^16),2,16),""),ABS(16-Z$8),1))</f>
        <v/>
      </c>
      <c r="AA59" s="4" t="str">
        <f t="shared" ref="AA59" si="218">IF(AA$8="",".",MID(IF($J58=1,_xlfn.BASE(ABS(_xlfn.DECIMAL($J58&amp;$K58&amp;$L58&amp;$M58&amp;$O58&amp;$P58&amp;$Q58&amp;$R58&amp;$T58&amp;$U58&amp;$V58&amp;$W58&amp;$Y58&amp;$Z58&amp;$AA58&amp;$AB58,2)-2^16),2,16),""),ABS(16-AA$8),1))</f>
        <v/>
      </c>
      <c r="AB59" s="4" t="str">
        <f t="shared" ref="AB59" si="219">IF(AB$8="",".",MID(IF($J58=1,_xlfn.BASE(ABS(_xlfn.DECIMAL($J58&amp;$K58&amp;$L58&amp;$M58&amp;$O58&amp;$P58&amp;$Q58&amp;$R58&amp;$T58&amp;$U58&amp;$V58&amp;$W58&amp;$Y58&amp;$Z58&amp;$AA58&amp;$AB58,2)-2^16),2,16),""),ABS(16-AB$8),1))</f>
        <v/>
      </c>
    </row>
    <row r="60" spans="8:35">
      <c r="J60" t="s">
        <v>54</v>
      </c>
      <c r="K60" s="4">
        <f>J55</f>
        <v>1</v>
      </c>
      <c r="M60" t="s">
        <v>55</v>
      </c>
      <c r="N60" s="4">
        <f>MOD(T58+U58+V58+W58+Y58+Z58+AA58+AB58,2)</f>
        <v>1</v>
      </c>
      <c r="P60" t="s">
        <v>56</v>
      </c>
      <c r="Q60" s="4">
        <f>Y55</f>
        <v>1</v>
      </c>
      <c r="S60" t="s">
        <v>57</v>
      </c>
      <c r="T60" s="4">
        <f>IF(AD58=0,1,0)</f>
        <v>0</v>
      </c>
      <c r="V60" t="s">
        <v>59</v>
      </c>
      <c r="W60" s="4">
        <f>J58</f>
        <v>0</v>
      </c>
      <c r="Y60" t="s">
        <v>58</v>
      </c>
      <c r="Z60" s="4">
        <f>MOD(K55+J55,2)</f>
        <v>1</v>
      </c>
    </row>
    <row r="63" spans="8:35">
      <c r="H63" s="5" t="s">
        <v>8</v>
      </c>
      <c r="J63" s="5">
        <f>IF(J64=".",K63,IF((K63+J64+J65) &gt;= 2,1,0))</f>
        <v>0</v>
      </c>
      <c r="K63" s="5">
        <f t="shared" ref="K63" si="220">IF(K64=".",L63,IF((L63+K64+K65) &gt;= 2,1,0))</f>
        <v>0</v>
      </c>
      <c r="L63" s="5">
        <f t="shared" ref="L63" si="221">IF(L64=".",M63,IF((M63+L64+L65) &gt;= 2,1,0))</f>
        <v>1</v>
      </c>
      <c r="M63" s="5">
        <f t="shared" ref="M63" si="222">IF(M64=".",N63,IF((N63+M64+M65) &gt;= 2,1,0))</f>
        <v>1</v>
      </c>
      <c r="N63" s="5">
        <f t="shared" ref="N63" si="223">IF(N64=".",O63,IF((O63+N64+N65) &gt;= 2,1,0))</f>
        <v>0</v>
      </c>
      <c r="O63" s="5">
        <f t="shared" ref="O63" si="224">IF(O64=".",P63,IF((P63+O64+O65) &gt;= 2,1,0))</f>
        <v>0</v>
      </c>
      <c r="P63" s="5">
        <f t="shared" ref="P63" si="225">IF(P64=".",Q63,IF((Q63+P64+P65) &gt;= 2,1,0))</f>
        <v>0</v>
      </c>
      <c r="Q63" s="5">
        <f t="shared" ref="Q63" si="226">IF(Q64=".",R63,IF((R63+Q64+Q65) &gt;= 2,1,0))</f>
        <v>1</v>
      </c>
      <c r="R63" s="5">
        <f t="shared" ref="R63" si="227">IF(R64=".",S63,IF((S63+R64+R65) &gt;= 2,1,0))</f>
        <v>1</v>
      </c>
      <c r="S63" s="5">
        <f t="shared" ref="S63" si="228">IF(S64=".",T63,IF((T63+S64+S65) &gt;= 2,1,0))</f>
        <v>0</v>
      </c>
      <c r="T63" s="5">
        <f t="shared" ref="T63" si="229">IF(T64=".",U63,IF((U63+T64+T65) &gt;= 2,1,0))</f>
        <v>0</v>
      </c>
      <c r="U63" s="5">
        <f t="shared" ref="U63" si="230">IF(U64=".",V63,IF((V63+U64+U65) &gt;= 2,1,0))</f>
        <v>0</v>
      </c>
      <c r="V63" s="5">
        <f t="shared" ref="V63" si="231">IF(V64=".",W63,IF((W63+V64+V65) &gt;= 2,1,0))</f>
        <v>0</v>
      </c>
      <c r="W63" s="5">
        <f t="shared" ref="W63" si="232">IF(W64=".",X63,IF((X63+W64+W65) &gt;= 2,1,0))</f>
        <v>0</v>
      </c>
      <c r="X63" s="5">
        <f t="shared" ref="X63" si="233">IF(X64=".",Y63,IF((Y63+X64+X65) &gt;= 2,1,0))</f>
        <v>1</v>
      </c>
      <c r="Y63" s="5">
        <f t="shared" ref="Y63" si="234">IF(Y64=".",Z63,IF((Z63+Y64+Y65) &gt;= 2,1,0))</f>
        <v>1</v>
      </c>
      <c r="Z63" s="5">
        <f t="shared" ref="Z63" si="235">IF(Z64=".",AA63,IF((AA63+Z64+Z65) &gt;= 2,1,0))</f>
        <v>1</v>
      </c>
      <c r="AA63" s="5">
        <f>IF(AA64=".",AB63,IF((AB63+AA64+AA65) &gt;= 2,1,0))</f>
        <v>1</v>
      </c>
      <c r="AB63" s="5">
        <f>IF(AB64=".",AC63,IF((AC63+AB64+AB65) &gt;= 2,1,0))</f>
        <v>0</v>
      </c>
    </row>
    <row r="64" spans="8:35">
      <c r="H64" s="4" t="s">
        <v>35</v>
      </c>
      <c r="J64" s="11" t="str">
        <f>J9</f>
        <v>0</v>
      </c>
      <c r="K64" s="11" t="str">
        <f t="shared" ref="K64:AB64" si="236">K9</f>
        <v>0</v>
      </c>
      <c r="L64" s="11" t="str">
        <f t="shared" si="236"/>
        <v>0</v>
      </c>
      <c r="M64" s="11" t="str">
        <f t="shared" si="236"/>
        <v>1</v>
      </c>
      <c r="N64" s="11" t="str">
        <f t="shared" si="236"/>
        <v>.</v>
      </c>
      <c r="O64" s="11" t="str">
        <f t="shared" si="236"/>
        <v>0</v>
      </c>
      <c r="P64" s="11" t="str">
        <f t="shared" si="236"/>
        <v>0</v>
      </c>
      <c r="Q64" s="11" t="str">
        <f t="shared" si="236"/>
        <v>1</v>
      </c>
      <c r="R64" s="11" t="str">
        <f>R9</f>
        <v>1</v>
      </c>
      <c r="S64" s="11" t="str">
        <f t="shared" si="236"/>
        <v>.</v>
      </c>
      <c r="T64" s="11" t="str">
        <f t="shared" si="236"/>
        <v>0</v>
      </c>
      <c r="U64" s="11" t="str">
        <f t="shared" si="236"/>
        <v>1</v>
      </c>
      <c r="V64" s="11" t="str">
        <f t="shared" si="236"/>
        <v>0</v>
      </c>
      <c r="W64" s="11" t="str">
        <f t="shared" si="236"/>
        <v>0</v>
      </c>
      <c r="X64" s="11" t="str">
        <f t="shared" si="236"/>
        <v>.</v>
      </c>
      <c r="Y64" s="11" t="str">
        <f t="shared" si="236"/>
        <v>0</v>
      </c>
      <c r="Z64" s="11" t="str">
        <f t="shared" si="236"/>
        <v>0</v>
      </c>
      <c r="AA64" s="11" t="str">
        <f t="shared" si="236"/>
        <v>1</v>
      </c>
      <c r="AB64" s="11" t="str">
        <f t="shared" si="236"/>
        <v>0</v>
      </c>
      <c r="AC64" s="6" t="s">
        <v>7</v>
      </c>
      <c r="AF64" s="1" t="s">
        <v>50</v>
      </c>
      <c r="AG64">
        <f>D9</f>
        <v>4930</v>
      </c>
      <c r="AH64" s="6" t="s">
        <v>36</v>
      </c>
    </row>
    <row r="65" spans="1:35" ht="15" thickBot="1">
      <c r="H65" s="4" t="s">
        <v>72</v>
      </c>
      <c r="J65" s="12" t="str">
        <f>J16</f>
        <v>1</v>
      </c>
      <c r="K65" s="12" t="str">
        <f t="shared" ref="K65:AB65" si="237">K16</f>
        <v>0</v>
      </c>
      <c r="L65" s="12" t="str">
        <f t="shared" si="237"/>
        <v>1</v>
      </c>
      <c r="M65" s="12" t="str">
        <f t="shared" si="237"/>
        <v>1</v>
      </c>
      <c r="N65" s="12" t="str">
        <f t="shared" si="237"/>
        <v>.</v>
      </c>
      <c r="O65" s="12" t="str">
        <f t="shared" si="237"/>
        <v>1</v>
      </c>
      <c r="P65" s="12" t="str">
        <f t="shared" si="237"/>
        <v>0</v>
      </c>
      <c r="Q65" s="12" t="str">
        <f t="shared" si="237"/>
        <v>0</v>
      </c>
      <c r="R65" s="12" t="str">
        <f t="shared" si="237"/>
        <v>1</v>
      </c>
      <c r="S65" s="12" t="str">
        <f t="shared" si="237"/>
        <v>.</v>
      </c>
      <c r="T65" s="12" t="str">
        <f t="shared" si="237"/>
        <v>0</v>
      </c>
      <c r="U65" s="12" t="str">
        <f t="shared" si="237"/>
        <v>0</v>
      </c>
      <c r="V65" s="12" t="str">
        <f t="shared" si="237"/>
        <v>1</v>
      </c>
      <c r="W65" s="12" t="str">
        <f t="shared" si="237"/>
        <v>0</v>
      </c>
      <c r="X65" s="12" t="str">
        <f t="shared" si="237"/>
        <v>.</v>
      </c>
      <c r="Y65" s="12" t="str">
        <f t="shared" si="237"/>
        <v>1</v>
      </c>
      <c r="Z65" s="12" t="str">
        <f t="shared" si="237"/>
        <v>1</v>
      </c>
      <c r="AA65" s="12" t="str">
        <f t="shared" si="237"/>
        <v>1</v>
      </c>
      <c r="AB65" s="12" t="str">
        <f t="shared" si="237"/>
        <v>0</v>
      </c>
      <c r="AC65" s="6" t="s">
        <v>7</v>
      </c>
      <c r="AF65" s="15" t="s">
        <v>73</v>
      </c>
      <c r="AG65" s="14">
        <f>D16</f>
        <v>-18130</v>
      </c>
      <c r="AH65" s="6" t="s">
        <v>36</v>
      </c>
    </row>
    <row r="66" spans="1:35">
      <c r="H66" s="5" t="s">
        <v>52</v>
      </c>
      <c r="J66" s="11">
        <f t="shared" ref="J66" si="238">IF(J65=".",".",MOD(J65+J64+K63,2))</f>
        <v>1</v>
      </c>
      <c r="K66" s="11">
        <f t="shared" ref="K66" si="239">IF(K65=".",".",MOD(K65+K64+L63,2))</f>
        <v>1</v>
      </c>
      <c r="L66" s="11">
        <f t="shared" ref="L66" si="240">IF(L65=".",".",MOD(L65+L64+M63,2))</f>
        <v>0</v>
      </c>
      <c r="M66" s="11">
        <f t="shared" ref="M66" si="241">IF(M65=".",".",MOD(M65+M64+N63,2))</f>
        <v>0</v>
      </c>
      <c r="N66" s="11" t="str">
        <f t="shared" ref="N66" si="242">IF(N65=".",".",MOD(N65+N64+O63,2))</f>
        <v>.</v>
      </c>
      <c r="O66" s="11">
        <f t="shared" ref="O66" si="243">IF(O65=".",".",MOD(O65+O64+P63,2))</f>
        <v>1</v>
      </c>
      <c r="P66" s="11">
        <f t="shared" ref="P66" si="244">IF(P65=".",".",MOD(P65+P64+Q63,2))</f>
        <v>1</v>
      </c>
      <c r="Q66" s="11">
        <f t="shared" ref="Q66" si="245">IF(Q65=".",".",MOD(Q65+Q64+R63,2))</f>
        <v>0</v>
      </c>
      <c r="R66" s="11">
        <f t="shared" ref="R66" si="246">IF(R65=".",".",MOD(R65+R64+S63,2))</f>
        <v>0</v>
      </c>
      <c r="S66" s="11" t="str">
        <f t="shared" ref="S66" si="247">IF(S65=".",".",MOD(S65+S64+T63,2))</f>
        <v>.</v>
      </c>
      <c r="T66" s="11">
        <f t="shared" ref="T66" si="248">IF(T65=".",".",MOD(T65+T64+U63,2))</f>
        <v>0</v>
      </c>
      <c r="U66" s="11">
        <f t="shared" ref="U66" si="249">IF(U65=".",".",MOD(U65+U64+V63,2))</f>
        <v>1</v>
      </c>
      <c r="V66" s="11">
        <f t="shared" ref="V66" si="250">IF(V65=".",".",MOD(V65+V64+W63,2))</f>
        <v>1</v>
      </c>
      <c r="W66" s="11">
        <f t="shared" ref="W66" si="251">IF(W65=".",".",MOD(W65+W64+X63,2))</f>
        <v>1</v>
      </c>
      <c r="X66" s="11" t="str">
        <f t="shared" ref="X66" si="252">IF(X65=".",".",MOD(X65+X64+Y63,2))</f>
        <v>.</v>
      </c>
      <c r="Y66" s="11">
        <f t="shared" ref="Y66" si="253">IF(Y65=".",".",MOD(Y65+Y64+Z63,2))</f>
        <v>0</v>
      </c>
      <c r="Z66" s="11">
        <f t="shared" ref="Z66" si="254">IF(Z65=".",".",MOD(Z65+Z64+AA63,2))</f>
        <v>0</v>
      </c>
      <c r="AA66" s="11">
        <f t="shared" ref="AA66" si="255">IF(AA65=".",".",MOD(AA65+AA64+AB63,2))</f>
        <v>0</v>
      </c>
      <c r="AB66" s="11">
        <f>IF(AB65=".",".",MOD(AB65+AB64+AC63,2))</f>
        <v>0</v>
      </c>
      <c r="AC66" s="8" t="s">
        <v>37</v>
      </c>
      <c r="AD66">
        <f>IF(J66=0,_xlfn.DECIMAL(J66&amp;K66&amp;L66&amp;M66&amp;O66&amp;P66&amp;Q66&amp;R66&amp;T66&amp;U66&amp;V66&amp;W66&amp;Y66&amp;Z66&amp;AA66&amp;AB66,2),(-1)*_xlfn.DECIMAL(J67&amp;K67&amp;L67&amp;M67&amp;O67&amp;P67&amp;Q67&amp;R67&amp;T67&amp;U67&amp;V67&amp;W67&amp;Y67&amp;Z67&amp;AA67&amp;AB67,2))</f>
        <v>-13200</v>
      </c>
      <c r="AE66" s="6" t="s">
        <v>36</v>
      </c>
      <c r="AG66">
        <f>AG64+AG65</f>
        <v>-13200</v>
      </c>
      <c r="AH66" s="6" t="s">
        <v>36</v>
      </c>
      <c r="AI66" t="str">
        <f>IF(AND(AD66=AG66,AD66&gt;=0,K68=0,AG64&gt;=0,AG65&gt;=0),$AL$9,IF(AND(OR(AND(AG64&gt;=0,AG65&lt;0),AND(AG64&lt;0,AG65&gt;=0)),AD66=AG66),$AL$11,IF(AND(AG64&gt;=0,AG65&gt;=0,Z68=1,AD66&lt;&gt;AG66),$AL$10,IF(AND(AG64&lt;0,AG65&lt;0,AD66&gt;=0,Z68=1),$AL$12,IF(AND(AG64&lt;0,AG65&lt;0,AD66=AG66),$AL$13,"Ошибка с входными данными")))))</f>
        <v>В ходе операции сложения неотрицательного и отрицательного чисел был получен корректный результат. При том перенос за разрядную сетку не учитывается</v>
      </c>
    </row>
    <row r="67" spans="1:35">
      <c r="H67" s="5" t="s">
        <v>53</v>
      </c>
      <c r="J67" s="4" t="str">
        <f>IF(J$8="",".",MID(IF($J66=1,_xlfn.BASE(ABS(_xlfn.DECIMAL($J66&amp;$K66&amp;$L66&amp;$M66&amp;$O66&amp;$P66&amp;$Q66&amp;$R66&amp;$T66&amp;$U66&amp;$V66&amp;$W66&amp;$Y66&amp;$Z66&amp;$AA66&amp;$AB66,2)-2^16),2,16),""),ABS(16-J$8),1))</f>
        <v>0</v>
      </c>
      <c r="K67" s="4" t="str">
        <f t="shared" ref="K67" si="256">IF(K$8="",".",MID(IF($J66=1,_xlfn.BASE(ABS(_xlfn.DECIMAL($J66&amp;$K66&amp;$L66&amp;$M66&amp;$O66&amp;$P66&amp;$Q66&amp;$R66&amp;$T66&amp;$U66&amp;$V66&amp;$W66&amp;$Y66&amp;$Z66&amp;$AA66&amp;$AB66,2)-2^16),2,16),""),ABS(16-K$8),1))</f>
        <v>0</v>
      </c>
      <c r="L67" s="4" t="str">
        <f t="shared" ref="L67" si="257">IF(L$8="",".",MID(IF($J66=1,_xlfn.BASE(ABS(_xlfn.DECIMAL($J66&amp;$K66&amp;$L66&amp;$M66&amp;$O66&amp;$P66&amp;$Q66&amp;$R66&amp;$T66&amp;$U66&amp;$V66&amp;$W66&amp;$Y66&amp;$Z66&amp;$AA66&amp;$AB66,2)-2^16),2,16),""),ABS(16-L$8),1))</f>
        <v>1</v>
      </c>
      <c r="M67" s="4" t="str">
        <f t="shared" ref="M67" si="258">IF(M$8="",".",MID(IF($J66=1,_xlfn.BASE(ABS(_xlfn.DECIMAL($J66&amp;$K66&amp;$L66&amp;$M66&amp;$O66&amp;$P66&amp;$Q66&amp;$R66&amp;$T66&amp;$U66&amp;$V66&amp;$W66&amp;$Y66&amp;$Z66&amp;$AA66&amp;$AB66,2)-2^16),2,16),""),ABS(16-M$8),1))</f>
        <v>1</v>
      </c>
      <c r="N67" s="4" t="str">
        <f t="shared" ref="N67" si="259">IF(N$8="",".",MID(IF($J66=1,_xlfn.BASE(ABS(_xlfn.DECIMAL($J66&amp;$K66&amp;$L66&amp;$M66&amp;$O66&amp;$P66&amp;$Q66&amp;$R66&amp;$T66&amp;$U66&amp;$V66&amp;$W66&amp;$Y66&amp;$Z66&amp;$AA66&amp;$AB66,2)-2^16),2,16),""),ABS(16-N$8),1))</f>
        <v>.</v>
      </c>
      <c r="O67" s="4" t="str">
        <f t="shared" ref="O67" si="260">IF(O$8="",".",MID(IF($J66=1,_xlfn.BASE(ABS(_xlfn.DECIMAL($J66&amp;$K66&amp;$L66&amp;$M66&amp;$O66&amp;$P66&amp;$Q66&amp;$R66&amp;$T66&amp;$U66&amp;$V66&amp;$W66&amp;$Y66&amp;$Z66&amp;$AA66&amp;$AB66,2)-2^16),2,16),""),ABS(16-O$8),1))</f>
        <v>0</v>
      </c>
      <c r="P67" s="4" t="str">
        <f t="shared" ref="P67" si="261">IF(P$8="",".",MID(IF($J66=1,_xlfn.BASE(ABS(_xlfn.DECIMAL($J66&amp;$K66&amp;$L66&amp;$M66&amp;$O66&amp;$P66&amp;$Q66&amp;$R66&amp;$T66&amp;$U66&amp;$V66&amp;$W66&amp;$Y66&amp;$Z66&amp;$AA66&amp;$AB66,2)-2^16),2,16),""),ABS(16-P$8),1))</f>
        <v>0</v>
      </c>
      <c r="Q67" s="4" t="str">
        <f t="shared" ref="Q67" si="262">IF(Q$8="",".",MID(IF($J66=1,_xlfn.BASE(ABS(_xlfn.DECIMAL($J66&amp;$K66&amp;$L66&amp;$M66&amp;$O66&amp;$P66&amp;$Q66&amp;$R66&amp;$T66&amp;$U66&amp;$V66&amp;$W66&amp;$Y66&amp;$Z66&amp;$AA66&amp;$AB66,2)-2^16),2,16),""),ABS(16-Q$8),1))</f>
        <v>1</v>
      </c>
      <c r="R67" s="4" t="str">
        <f>IF(R$8="",".",MID(IF($J66=1,_xlfn.BASE(ABS(_xlfn.DECIMAL($J66&amp;$K66&amp;$L66&amp;$M66&amp;$O66&amp;$P66&amp;$Q66&amp;$R66&amp;$T66&amp;$U66&amp;$V66&amp;$W66&amp;$Y66&amp;$Z66&amp;$AA66&amp;$AB66,2)-2^16),2,16),""),ABS(16-R$8),1))</f>
        <v>1</v>
      </c>
      <c r="S67" s="4" t="str">
        <f t="shared" ref="S67" si="263">IF(S$8="",".",MID(IF($J66=1,_xlfn.BASE(ABS(_xlfn.DECIMAL($J66&amp;$K66&amp;$L66&amp;$M66&amp;$O66&amp;$P66&amp;$Q66&amp;$R66&amp;$T66&amp;$U66&amp;$V66&amp;$W66&amp;$Y66&amp;$Z66&amp;$AA66&amp;$AB66,2)-2^16),2,16),""),ABS(16-S$8),1))</f>
        <v>.</v>
      </c>
      <c r="T67" s="4" t="str">
        <f t="shared" ref="T67" si="264">IF(T$8="",".",MID(IF($J66=1,_xlfn.BASE(ABS(_xlfn.DECIMAL($J66&amp;$K66&amp;$L66&amp;$M66&amp;$O66&amp;$P66&amp;$Q66&amp;$R66&amp;$T66&amp;$U66&amp;$V66&amp;$W66&amp;$Y66&amp;$Z66&amp;$AA66&amp;$AB66,2)-2^16),2,16),""),ABS(16-T$8),1))</f>
        <v>1</v>
      </c>
      <c r="U67" s="4" t="str">
        <f t="shared" ref="U67" si="265">IF(U$8="",".",MID(IF($J66=1,_xlfn.BASE(ABS(_xlfn.DECIMAL($J66&amp;$K66&amp;$L66&amp;$M66&amp;$O66&amp;$P66&amp;$Q66&amp;$R66&amp;$T66&amp;$U66&amp;$V66&amp;$W66&amp;$Y66&amp;$Z66&amp;$AA66&amp;$AB66,2)-2^16),2,16),""),ABS(16-U$8),1))</f>
        <v>0</v>
      </c>
      <c r="V67" s="4" t="str">
        <f t="shared" ref="V67" si="266">IF(V$8="",".",MID(IF($J66=1,_xlfn.BASE(ABS(_xlfn.DECIMAL($J66&amp;$K66&amp;$L66&amp;$M66&amp;$O66&amp;$P66&amp;$Q66&amp;$R66&amp;$T66&amp;$U66&amp;$V66&amp;$W66&amp;$Y66&amp;$Z66&amp;$AA66&amp;$AB66,2)-2^16),2,16),""),ABS(16-V$8),1))</f>
        <v>0</v>
      </c>
      <c r="W67" s="4" t="str">
        <f t="shared" ref="W67" si="267">IF(W$8="",".",MID(IF($J66=1,_xlfn.BASE(ABS(_xlfn.DECIMAL($J66&amp;$K66&amp;$L66&amp;$M66&amp;$O66&amp;$P66&amp;$Q66&amp;$R66&amp;$T66&amp;$U66&amp;$V66&amp;$W66&amp;$Y66&amp;$Z66&amp;$AA66&amp;$AB66,2)-2^16),2,16),""),ABS(16-W$8),1))</f>
        <v>1</v>
      </c>
      <c r="X67" s="4" t="str">
        <f t="shared" ref="X67" si="268">IF(X$8="",".",MID(IF($J66=1,_xlfn.BASE(ABS(_xlfn.DECIMAL($J66&amp;$K66&amp;$L66&amp;$M66&amp;$O66&amp;$P66&amp;$Q66&amp;$R66&amp;$T66&amp;$U66&amp;$V66&amp;$W66&amp;$Y66&amp;$Z66&amp;$AA66&amp;$AB66,2)-2^16),2,16),""),ABS(16-X$8),1))</f>
        <v>.</v>
      </c>
      <c r="Y67" s="4" t="str">
        <f t="shared" ref="Y67" si="269">IF(Y$8="",".",MID(IF($J66=1,_xlfn.BASE(ABS(_xlfn.DECIMAL($J66&amp;$K66&amp;$L66&amp;$M66&amp;$O66&amp;$P66&amp;$Q66&amp;$R66&amp;$T66&amp;$U66&amp;$V66&amp;$W66&amp;$Y66&amp;$Z66&amp;$AA66&amp;$AB66,2)-2^16),2,16),""),ABS(16-Y$8),1))</f>
        <v>0</v>
      </c>
      <c r="Z67" s="4" t="str">
        <f t="shared" ref="Z67" si="270">IF(Z$8="",".",MID(IF($J66=1,_xlfn.BASE(ABS(_xlfn.DECIMAL($J66&amp;$K66&amp;$L66&amp;$M66&amp;$O66&amp;$P66&amp;$Q66&amp;$R66&amp;$T66&amp;$U66&amp;$V66&amp;$W66&amp;$Y66&amp;$Z66&amp;$AA66&amp;$AB66,2)-2^16),2,16),""),ABS(16-Z$8),1))</f>
        <v>0</v>
      </c>
      <c r="AA67" s="4" t="str">
        <f t="shared" ref="AA67" si="271">IF(AA$8="",".",MID(IF($J66=1,_xlfn.BASE(ABS(_xlfn.DECIMAL($J66&amp;$K66&amp;$L66&amp;$M66&amp;$O66&amp;$P66&amp;$Q66&amp;$R66&amp;$T66&amp;$U66&amp;$V66&amp;$W66&amp;$Y66&amp;$Z66&amp;$AA66&amp;$AB66,2)-2^16),2,16),""),ABS(16-AA$8),1))</f>
        <v>0</v>
      </c>
      <c r="AB67" s="4" t="str">
        <f t="shared" ref="AB67" si="272">IF(AB$8="",".",MID(IF($J66=1,_xlfn.BASE(ABS(_xlfn.DECIMAL($J66&amp;$K66&amp;$L66&amp;$M66&amp;$O66&amp;$P66&amp;$Q66&amp;$R66&amp;$T66&amp;$U66&amp;$V66&amp;$W66&amp;$Y66&amp;$Z66&amp;$AA66&amp;$AB66,2)-2^16),2,16),""),ABS(16-AB$8),1))</f>
        <v>0</v>
      </c>
    </row>
    <row r="68" spans="1:35">
      <c r="J68" t="s">
        <v>54</v>
      </c>
      <c r="K68" s="4">
        <f>J63</f>
        <v>0</v>
      </c>
      <c r="M68" t="s">
        <v>55</v>
      </c>
      <c r="N68" s="4">
        <f>MOD(T66+U66+V66+W66+Y66+Z66+AA66+AB66,2)</f>
        <v>1</v>
      </c>
      <c r="P68" t="s">
        <v>56</v>
      </c>
      <c r="Q68" s="4">
        <f>Y63</f>
        <v>1</v>
      </c>
      <c r="S68" t="s">
        <v>57</v>
      </c>
      <c r="T68" s="4">
        <f>IF(AD66=0,1,0)</f>
        <v>0</v>
      </c>
      <c r="V68" t="s">
        <v>59</v>
      </c>
      <c r="W68" s="4">
        <f>J66</f>
        <v>1</v>
      </c>
      <c r="Y68" t="s">
        <v>58</v>
      </c>
      <c r="Z68" s="4">
        <f>MOD(K63+J63,2)</f>
        <v>0</v>
      </c>
    </row>
    <row r="71" spans="1:35">
      <c r="H71" s="5" t="s">
        <v>8</v>
      </c>
      <c r="J71" s="5">
        <f>IF(J72=".",K71,IF((K71+J72+J73) &gt;= 2,1,0))</f>
        <v>1</v>
      </c>
      <c r="K71" s="5">
        <f t="shared" ref="K71" si="273">IF(K72=".",L71,IF((L71+K72+K73) &gt;= 2,1,0))</f>
        <v>1</v>
      </c>
      <c r="L71" s="5">
        <f t="shared" ref="L71" si="274">IF(L72=".",M71,IF((M71+L72+L73) &gt;= 2,1,0))</f>
        <v>0</v>
      </c>
      <c r="M71" s="5">
        <f t="shared" ref="M71" si="275">IF(M72=".",N71,IF((N71+M72+M73) &gt;= 2,1,0))</f>
        <v>1</v>
      </c>
      <c r="N71" s="5">
        <f t="shared" ref="N71" si="276">IF(N72=".",O71,IF((O71+N72+N73) &gt;= 2,1,0))</f>
        <v>1</v>
      </c>
      <c r="O71" s="5">
        <f t="shared" ref="O71" si="277">IF(O72=".",P71,IF((P71+O72+O73) &gt;= 2,1,0))</f>
        <v>1</v>
      </c>
      <c r="P71" s="5">
        <f t="shared" ref="P71" si="278">IF(P72=".",Q71,IF((Q71+P72+P73) &gt;= 2,1,0))</f>
        <v>0</v>
      </c>
      <c r="Q71" s="5">
        <f t="shared" ref="Q71" si="279">IF(Q72=".",R71,IF((R71+Q72+Q73) &gt;= 2,1,0))</f>
        <v>0</v>
      </c>
      <c r="R71" s="5">
        <f t="shared" ref="R71" si="280">IF(R72=".",S71,IF((S71+R72+R73) &gt;= 2,1,0))</f>
        <v>0</v>
      </c>
      <c r="S71" s="5">
        <f t="shared" ref="S71" si="281">IF(S72=".",T71,IF((T71+S72+S73) &gt;= 2,1,0))</f>
        <v>0</v>
      </c>
      <c r="T71" s="5">
        <f t="shared" ref="T71" si="282">IF(T72=".",U71,IF((U71+T72+T73) &gt;= 2,1,0))</f>
        <v>0</v>
      </c>
      <c r="U71" s="5">
        <f t="shared" ref="U71" si="283">IF(U72=".",V71,IF((V71+U72+U73) &gt;= 2,1,0))</f>
        <v>1</v>
      </c>
      <c r="V71" s="5">
        <f t="shared" ref="V71" si="284">IF(V72=".",W71,IF((W71+V72+V73) &gt;= 2,1,0))</f>
        <v>1</v>
      </c>
      <c r="W71" s="5">
        <f t="shared" ref="W71" si="285">IF(W72=".",X71,IF((X71+W72+W73) &gt;= 2,1,0))</f>
        <v>1</v>
      </c>
      <c r="X71" s="5">
        <f t="shared" ref="X71" si="286">IF(X72=".",Y71,IF((Y71+X72+X73) &gt;= 2,1,0))</f>
        <v>0</v>
      </c>
      <c r="Y71" s="5">
        <f t="shared" ref="Y71" si="287">IF(Y72=".",Z71,IF((Z71+Y72+Y73) &gt;= 2,1,0))</f>
        <v>0</v>
      </c>
      <c r="Z71" s="5">
        <f t="shared" ref="Z71" si="288">IF(Z72=".",AA71,IF((AA71+Z72+Z73) &gt;= 2,1,0))</f>
        <v>0</v>
      </c>
      <c r="AA71" s="5">
        <f>IF(AA72=".",AB71,IF((AB71+AA72+AA73) &gt;= 2,1,0))</f>
        <v>0</v>
      </c>
      <c r="AB71" s="5">
        <f>IF(AB72=".",AC71,IF((AC71+AB72+AB73) &gt;= 2,1,0))</f>
        <v>0</v>
      </c>
    </row>
    <row r="72" spans="1:35">
      <c r="H72" s="4" t="s">
        <v>76</v>
      </c>
      <c r="J72" s="11" t="str">
        <f>J19</f>
        <v>1</v>
      </c>
      <c r="K72" s="11" t="str">
        <f t="shared" ref="K72:AB72" si="289">K19</f>
        <v>1</v>
      </c>
      <c r="L72" s="11" t="str">
        <f t="shared" si="289"/>
        <v>0</v>
      </c>
      <c r="M72" s="11" t="str">
        <f t="shared" si="289"/>
        <v>0</v>
      </c>
      <c r="N72" s="11" t="str">
        <f t="shared" si="289"/>
        <v>.</v>
      </c>
      <c r="O72" s="11" t="str">
        <f t="shared" si="289"/>
        <v>1</v>
      </c>
      <c r="P72" s="11" t="str">
        <f t="shared" si="289"/>
        <v>1</v>
      </c>
      <c r="Q72" s="11" t="str">
        <f t="shared" si="289"/>
        <v>0</v>
      </c>
      <c r="R72" s="11" t="str">
        <f t="shared" si="289"/>
        <v>0</v>
      </c>
      <c r="S72" s="11" t="str">
        <f t="shared" si="289"/>
        <v>.</v>
      </c>
      <c r="T72" s="11" t="str">
        <f t="shared" si="289"/>
        <v>0</v>
      </c>
      <c r="U72" s="11" t="str">
        <f t="shared" si="289"/>
        <v>1</v>
      </c>
      <c r="V72" s="11" t="str">
        <f t="shared" si="289"/>
        <v>1</v>
      </c>
      <c r="W72" s="11" t="str">
        <f t="shared" si="289"/>
        <v>1</v>
      </c>
      <c r="X72" s="11" t="str">
        <f t="shared" si="289"/>
        <v>.</v>
      </c>
      <c r="Y72" s="11" t="str">
        <f t="shared" si="289"/>
        <v>0</v>
      </c>
      <c r="Z72" s="11" t="str">
        <f t="shared" si="289"/>
        <v>0</v>
      </c>
      <c r="AA72" s="11" t="str">
        <f t="shared" si="289"/>
        <v>0</v>
      </c>
      <c r="AB72" s="11" t="str">
        <f t="shared" si="289"/>
        <v>0</v>
      </c>
      <c r="AC72" s="6" t="s">
        <v>7</v>
      </c>
      <c r="AF72" s="1" t="s">
        <v>77</v>
      </c>
      <c r="AG72">
        <f>D19</f>
        <v>-13200</v>
      </c>
      <c r="AH72" s="6" t="s">
        <v>36</v>
      </c>
    </row>
    <row r="73" spans="1:35" ht="15" thickBot="1">
      <c r="H73" s="4" t="s">
        <v>69</v>
      </c>
      <c r="J73" s="12" t="str">
        <f>J11</f>
        <v>0</v>
      </c>
      <c r="K73" s="12" t="str">
        <f t="shared" ref="K73:AB73" si="290">K11</f>
        <v>1</v>
      </c>
      <c r="L73" s="12" t="str">
        <f t="shared" si="290"/>
        <v>0</v>
      </c>
      <c r="M73" s="12" t="str">
        <f t="shared" si="290"/>
        <v>1</v>
      </c>
      <c r="N73" s="12" t="str">
        <f t="shared" si="290"/>
        <v>.</v>
      </c>
      <c r="O73" s="12" t="str">
        <f t="shared" si="290"/>
        <v>1</v>
      </c>
      <c r="P73" s="12" t="str">
        <f t="shared" si="290"/>
        <v>0</v>
      </c>
      <c r="Q73" s="12" t="str">
        <f t="shared" si="290"/>
        <v>1</v>
      </c>
      <c r="R73" s="12" t="str">
        <f t="shared" si="290"/>
        <v>0</v>
      </c>
      <c r="S73" s="12" t="str">
        <f t="shared" si="290"/>
        <v>.</v>
      </c>
      <c r="T73" s="12" t="str">
        <f t="shared" si="290"/>
        <v>0</v>
      </c>
      <c r="U73" s="12" t="str">
        <f t="shared" si="290"/>
        <v>0</v>
      </c>
      <c r="V73" s="12" t="str">
        <f t="shared" si="290"/>
        <v>0</v>
      </c>
      <c r="W73" s="12" t="str">
        <f t="shared" si="290"/>
        <v>1</v>
      </c>
      <c r="X73" s="12" t="str">
        <f t="shared" si="290"/>
        <v>.</v>
      </c>
      <c r="Y73" s="12" t="str">
        <f t="shared" si="290"/>
        <v>0</v>
      </c>
      <c r="Z73" s="12" t="str">
        <f t="shared" si="290"/>
        <v>1</v>
      </c>
      <c r="AA73" s="12" t="str">
        <f t="shared" si="290"/>
        <v>0</v>
      </c>
      <c r="AB73" s="12" t="str">
        <f t="shared" si="290"/>
        <v>0</v>
      </c>
      <c r="AC73" s="6" t="s">
        <v>7</v>
      </c>
      <c r="AF73" s="15" t="s">
        <v>67</v>
      </c>
      <c r="AG73" s="14">
        <f>D11</f>
        <v>23060</v>
      </c>
      <c r="AH73" s="6" t="s">
        <v>36</v>
      </c>
    </row>
    <row r="74" spans="1:35">
      <c r="H74" s="5" t="s">
        <v>52</v>
      </c>
      <c r="J74" s="11">
        <f t="shared" ref="J74" si="291">IF(J73=".",".",MOD(J73+J72+K71,2))</f>
        <v>0</v>
      </c>
      <c r="K74" s="11">
        <f t="shared" ref="K74" si="292">IF(K73=".",".",MOD(K73+K72+L71,2))</f>
        <v>0</v>
      </c>
      <c r="L74" s="11">
        <f t="shared" ref="L74" si="293">IF(L73=".",".",MOD(L73+L72+M71,2))</f>
        <v>1</v>
      </c>
      <c r="M74" s="11">
        <f t="shared" ref="M74" si="294">IF(M73=".",".",MOD(M73+M72+N71,2))</f>
        <v>0</v>
      </c>
      <c r="N74" s="11" t="str">
        <f t="shared" ref="N74" si="295">IF(N73=".",".",MOD(N73+N72+O71,2))</f>
        <v>.</v>
      </c>
      <c r="O74" s="11">
        <f t="shared" ref="O74" si="296">IF(O73=".",".",MOD(O73+O72+P71,2))</f>
        <v>0</v>
      </c>
      <c r="P74" s="11">
        <f t="shared" ref="P74" si="297">IF(P73=".",".",MOD(P73+P72+Q71,2))</f>
        <v>1</v>
      </c>
      <c r="Q74" s="11">
        <f t="shared" ref="Q74" si="298">IF(Q73=".",".",MOD(Q73+Q72+R71,2))</f>
        <v>1</v>
      </c>
      <c r="R74" s="11">
        <f t="shared" ref="R74" si="299">IF(R73=".",".",MOD(R73+R72+S71,2))</f>
        <v>0</v>
      </c>
      <c r="S74" s="11" t="str">
        <f t="shared" ref="S74" si="300">IF(S73=".",".",MOD(S73+S72+T71,2))</f>
        <v>.</v>
      </c>
      <c r="T74" s="11">
        <f t="shared" ref="T74" si="301">IF(T73=".",".",MOD(T73+T72+U71,2))</f>
        <v>1</v>
      </c>
      <c r="U74" s="11">
        <f t="shared" ref="U74" si="302">IF(U73=".",".",MOD(U73+U72+V71,2))</f>
        <v>0</v>
      </c>
      <c r="V74" s="11">
        <f t="shared" ref="V74" si="303">IF(V73=".",".",MOD(V73+V72+W71,2))</f>
        <v>0</v>
      </c>
      <c r="W74" s="11">
        <f t="shared" ref="W74" si="304">IF(W73=".",".",MOD(W73+W72+X71,2))</f>
        <v>0</v>
      </c>
      <c r="X74" s="11" t="str">
        <f t="shared" ref="X74" si="305">IF(X73=".",".",MOD(X73+X72+Y71,2))</f>
        <v>.</v>
      </c>
      <c r="Y74" s="11">
        <f t="shared" ref="Y74" si="306">IF(Y73=".",".",MOD(Y73+Y72+Z71,2))</f>
        <v>0</v>
      </c>
      <c r="Z74" s="11">
        <f t="shared" ref="Z74" si="307">IF(Z73=".",".",MOD(Z73+Z72+AA71,2))</f>
        <v>1</v>
      </c>
      <c r="AA74" s="11">
        <f t="shared" ref="AA74" si="308">IF(AA73=".",".",MOD(AA73+AA72+AB71,2))</f>
        <v>0</v>
      </c>
      <c r="AB74" s="11">
        <f>IF(AB73=".",".",MOD(AB73+AB72+AC71,2))</f>
        <v>0</v>
      </c>
      <c r="AC74" s="8" t="s">
        <v>37</v>
      </c>
      <c r="AD74">
        <f>IF(J74=0,_xlfn.DECIMAL(J74&amp;K74&amp;L74&amp;M74&amp;O74&amp;P74&amp;Q74&amp;R74&amp;T74&amp;U74&amp;V74&amp;W74&amp;Y74&amp;Z74&amp;AA74&amp;AB74,2),(-1)*_xlfn.DECIMAL(J75&amp;K75&amp;L75&amp;M75&amp;O75&amp;P75&amp;Q75&amp;R75&amp;T75&amp;U75&amp;V75&amp;W75&amp;Y75&amp;Z75&amp;AA75&amp;AB75,2))</f>
        <v>9860</v>
      </c>
      <c r="AE74" s="6" t="s">
        <v>36</v>
      </c>
      <c r="AG74">
        <f>AG72+AG73</f>
        <v>9860</v>
      </c>
      <c r="AH74" s="6" t="s">
        <v>36</v>
      </c>
      <c r="AI74" t="str">
        <f>IF(AND(AD74=AG74,AD74&gt;=0,K76=0,AG72&gt;=0,AG73&gt;=0),$AL$9,IF(AND(OR(AND(AG72&gt;=0,AG73&lt;0),AND(AG72&lt;0,AG73&gt;=0)),AD74=AG74),$AL$11,IF(AND(AG72&gt;=0,AG73&gt;=0,Z76=1,AD74&lt;&gt;AG74),$AL$10,IF(AND(AG72&lt;0,AG73&lt;0,AD74&gt;=0,Z76=1),$AL$12,IF(AND(AG72&lt;0,AG73&lt;0,AD74=AG74),$AL$13,"Ошибка с входными данными")))))</f>
        <v>В ходе операции сложения неотрицательного и отрицательного чисел был получен корректный результат. При том перенос за разрядную сетку не учитывается</v>
      </c>
    </row>
    <row r="75" spans="1:35">
      <c r="H75" s="5" t="s">
        <v>53</v>
      </c>
      <c r="J75" s="4" t="str">
        <f>IF(J$8="",".",MID(IF($J74=1,_xlfn.BASE(ABS(_xlfn.DECIMAL($J74&amp;$K74&amp;$L74&amp;$M74&amp;$O74&amp;$P74&amp;$Q74&amp;$R74&amp;$T74&amp;$U74&amp;$V74&amp;$W74&amp;$Y74&amp;$Z74&amp;$AA74&amp;$AB74,2)-2^16),2,16),""),ABS(16-J$8),1))</f>
        <v/>
      </c>
      <c r="K75" s="4" t="str">
        <f t="shared" ref="K75" si="309">IF(K$8="",".",MID(IF($J74=1,_xlfn.BASE(ABS(_xlfn.DECIMAL($J74&amp;$K74&amp;$L74&amp;$M74&amp;$O74&amp;$P74&amp;$Q74&amp;$R74&amp;$T74&amp;$U74&amp;$V74&amp;$W74&amp;$Y74&amp;$Z74&amp;$AA74&amp;$AB74,2)-2^16),2,16),""),ABS(16-K$8),1))</f>
        <v/>
      </c>
      <c r="L75" s="4" t="str">
        <f t="shared" ref="L75" si="310">IF(L$8="",".",MID(IF($J74=1,_xlfn.BASE(ABS(_xlfn.DECIMAL($J74&amp;$K74&amp;$L74&amp;$M74&amp;$O74&amp;$P74&amp;$Q74&amp;$R74&amp;$T74&amp;$U74&amp;$V74&amp;$W74&amp;$Y74&amp;$Z74&amp;$AA74&amp;$AB74,2)-2^16),2,16),""),ABS(16-L$8),1))</f>
        <v/>
      </c>
      <c r="M75" s="4" t="str">
        <f t="shared" ref="M75" si="311">IF(M$8="",".",MID(IF($J74=1,_xlfn.BASE(ABS(_xlfn.DECIMAL($J74&amp;$K74&amp;$L74&amp;$M74&amp;$O74&amp;$P74&amp;$Q74&amp;$R74&amp;$T74&amp;$U74&amp;$V74&amp;$W74&amp;$Y74&amp;$Z74&amp;$AA74&amp;$AB74,2)-2^16),2,16),""),ABS(16-M$8),1))</f>
        <v/>
      </c>
      <c r="N75" s="4" t="str">
        <f t="shared" ref="N75" si="312">IF(N$8="",".",MID(IF($J74=1,_xlfn.BASE(ABS(_xlfn.DECIMAL($J74&amp;$K74&amp;$L74&amp;$M74&amp;$O74&amp;$P74&amp;$Q74&amp;$R74&amp;$T74&amp;$U74&amp;$V74&amp;$W74&amp;$Y74&amp;$Z74&amp;$AA74&amp;$AB74,2)-2^16),2,16),""),ABS(16-N$8),1))</f>
        <v>.</v>
      </c>
      <c r="O75" s="4" t="str">
        <f t="shared" ref="O75" si="313">IF(O$8="",".",MID(IF($J74=1,_xlfn.BASE(ABS(_xlfn.DECIMAL($J74&amp;$K74&amp;$L74&amp;$M74&amp;$O74&amp;$P74&amp;$Q74&amp;$R74&amp;$T74&amp;$U74&amp;$V74&amp;$W74&amp;$Y74&amp;$Z74&amp;$AA74&amp;$AB74,2)-2^16),2,16),""),ABS(16-O$8),1))</f>
        <v/>
      </c>
      <c r="P75" s="4" t="str">
        <f t="shared" ref="P75" si="314">IF(P$8="",".",MID(IF($J74=1,_xlfn.BASE(ABS(_xlfn.DECIMAL($J74&amp;$K74&amp;$L74&amp;$M74&amp;$O74&amp;$P74&amp;$Q74&amp;$R74&amp;$T74&amp;$U74&amp;$V74&amp;$W74&amp;$Y74&amp;$Z74&amp;$AA74&amp;$AB74,2)-2^16),2,16),""),ABS(16-P$8),1))</f>
        <v/>
      </c>
      <c r="Q75" s="4" t="str">
        <f t="shared" ref="Q75" si="315">IF(Q$8="",".",MID(IF($J74=1,_xlfn.BASE(ABS(_xlfn.DECIMAL($J74&amp;$K74&amp;$L74&amp;$M74&amp;$O74&amp;$P74&amp;$Q74&amp;$R74&amp;$T74&amp;$U74&amp;$V74&amp;$W74&amp;$Y74&amp;$Z74&amp;$AA74&amp;$AB74,2)-2^16),2,16),""),ABS(16-Q$8),1))</f>
        <v/>
      </c>
      <c r="R75" s="4" t="str">
        <f>IF(R$8="",".",MID(IF($J74=1,_xlfn.BASE(ABS(_xlfn.DECIMAL($J74&amp;$K74&amp;$L74&amp;$M74&amp;$O74&amp;$P74&amp;$Q74&amp;$R74&amp;$T74&amp;$U74&amp;$V74&amp;$W74&amp;$Y74&amp;$Z74&amp;$AA74&amp;$AB74,2)-2^16),2,16),""),ABS(16-R$8),1))</f>
        <v/>
      </c>
      <c r="S75" s="4" t="str">
        <f t="shared" ref="S75" si="316">IF(S$8="",".",MID(IF($J74=1,_xlfn.BASE(ABS(_xlfn.DECIMAL($J74&amp;$K74&amp;$L74&amp;$M74&amp;$O74&amp;$P74&amp;$Q74&amp;$R74&amp;$T74&amp;$U74&amp;$V74&amp;$W74&amp;$Y74&amp;$Z74&amp;$AA74&amp;$AB74,2)-2^16),2,16),""),ABS(16-S$8),1))</f>
        <v>.</v>
      </c>
      <c r="T75" s="4" t="str">
        <f t="shared" ref="T75" si="317">IF(T$8="",".",MID(IF($J74=1,_xlfn.BASE(ABS(_xlfn.DECIMAL($J74&amp;$K74&amp;$L74&amp;$M74&amp;$O74&amp;$P74&amp;$Q74&amp;$R74&amp;$T74&amp;$U74&amp;$V74&amp;$W74&amp;$Y74&amp;$Z74&amp;$AA74&amp;$AB74,2)-2^16),2,16),""),ABS(16-T$8),1))</f>
        <v/>
      </c>
      <c r="U75" s="4" t="str">
        <f t="shared" ref="U75" si="318">IF(U$8="",".",MID(IF($J74=1,_xlfn.BASE(ABS(_xlfn.DECIMAL($J74&amp;$K74&amp;$L74&amp;$M74&amp;$O74&amp;$P74&amp;$Q74&amp;$R74&amp;$T74&amp;$U74&amp;$V74&amp;$W74&amp;$Y74&amp;$Z74&amp;$AA74&amp;$AB74,2)-2^16),2,16),""),ABS(16-U$8),1))</f>
        <v/>
      </c>
      <c r="V75" s="4" t="str">
        <f t="shared" ref="V75" si="319">IF(V$8="",".",MID(IF($J74=1,_xlfn.BASE(ABS(_xlfn.DECIMAL($J74&amp;$K74&amp;$L74&amp;$M74&amp;$O74&amp;$P74&amp;$Q74&amp;$R74&amp;$T74&amp;$U74&amp;$V74&amp;$W74&amp;$Y74&amp;$Z74&amp;$AA74&amp;$AB74,2)-2^16),2,16),""),ABS(16-V$8),1))</f>
        <v/>
      </c>
      <c r="W75" s="4" t="str">
        <f t="shared" ref="W75" si="320">IF(W$8="",".",MID(IF($J74=1,_xlfn.BASE(ABS(_xlfn.DECIMAL($J74&amp;$K74&amp;$L74&amp;$M74&amp;$O74&amp;$P74&amp;$Q74&amp;$R74&amp;$T74&amp;$U74&amp;$V74&amp;$W74&amp;$Y74&amp;$Z74&amp;$AA74&amp;$AB74,2)-2^16),2,16),""),ABS(16-W$8),1))</f>
        <v/>
      </c>
      <c r="X75" s="4" t="str">
        <f t="shared" ref="X75" si="321">IF(X$8="",".",MID(IF($J74=1,_xlfn.BASE(ABS(_xlfn.DECIMAL($J74&amp;$K74&amp;$L74&amp;$M74&amp;$O74&amp;$P74&amp;$Q74&amp;$R74&amp;$T74&amp;$U74&amp;$V74&amp;$W74&amp;$Y74&amp;$Z74&amp;$AA74&amp;$AB74,2)-2^16),2,16),""),ABS(16-X$8),1))</f>
        <v>.</v>
      </c>
      <c r="Y75" s="4" t="str">
        <f t="shared" ref="Y75" si="322">IF(Y$8="",".",MID(IF($J74=1,_xlfn.BASE(ABS(_xlfn.DECIMAL($J74&amp;$K74&amp;$L74&amp;$M74&amp;$O74&amp;$P74&amp;$Q74&amp;$R74&amp;$T74&amp;$U74&amp;$V74&amp;$W74&amp;$Y74&amp;$Z74&amp;$AA74&amp;$AB74,2)-2^16),2,16),""),ABS(16-Y$8),1))</f>
        <v/>
      </c>
      <c r="Z75" s="4" t="str">
        <f t="shared" ref="Z75" si="323">IF(Z$8="",".",MID(IF($J74=1,_xlfn.BASE(ABS(_xlfn.DECIMAL($J74&amp;$K74&amp;$L74&amp;$M74&amp;$O74&amp;$P74&amp;$Q74&amp;$R74&amp;$T74&amp;$U74&amp;$V74&amp;$W74&amp;$Y74&amp;$Z74&amp;$AA74&amp;$AB74,2)-2^16),2,16),""),ABS(16-Z$8),1))</f>
        <v/>
      </c>
      <c r="AA75" s="4" t="str">
        <f t="shared" ref="AA75" si="324">IF(AA$8="",".",MID(IF($J74=1,_xlfn.BASE(ABS(_xlfn.DECIMAL($J74&amp;$K74&amp;$L74&amp;$M74&amp;$O74&amp;$P74&amp;$Q74&amp;$R74&amp;$T74&amp;$U74&amp;$V74&amp;$W74&amp;$Y74&amp;$Z74&amp;$AA74&amp;$AB74,2)-2^16),2,16),""),ABS(16-AA$8),1))</f>
        <v/>
      </c>
      <c r="AB75" s="4" t="str">
        <f t="shared" ref="AB75" si="325">IF(AB$8="",".",MID(IF($J74=1,_xlfn.BASE(ABS(_xlfn.DECIMAL($J74&amp;$K74&amp;$L74&amp;$M74&amp;$O74&amp;$P74&amp;$Q74&amp;$R74&amp;$T74&amp;$U74&amp;$V74&amp;$W74&amp;$Y74&amp;$Z74&amp;$AA74&amp;$AB74,2)-2^16),2,16),""),ABS(16-AB$8),1))</f>
        <v/>
      </c>
    </row>
    <row r="76" spans="1:35">
      <c r="J76" t="s">
        <v>54</v>
      </c>
      <c r="K76" s="4">
        <f>J71</f>
        <v>1</v>
      </c>
      <c r="M76" t="s">
        <v>55</v>
      </c>
      <c r="N76" s="4">
        <f>MOD(T74+U74+V74+W74+Y74+Z74+AA74+AB74,2)</f>
        <v>0</v>
      </c>
      <c r="P76" t="s">
        <v>56</v>
      </c>
      <c r="Q76" s="4">
        <f>Y71</f>
        <v>0</v>
      </c>
      <c r="S76" t="s">
        <v>57</v>
      </c>
      <c r="T76" s="4">
        <f>IF(AD74=0,1,0)</f>
        <v>0</v>
      </c>
      <c r="V76" t="s">
        <v>59</v>
      </c>
      <c r="W76" s="4">
        <f>J74</f>
        <v>0</v>
      </c>
      <c r="Y76" t="s">
        <v>58</v>
      </c>
      <c r="Z76" s="4">
        <f>MOD(K71+J71,2)</f>
        <v>0</v>
      </c>
    </row>
    <row r="79" spans="1:35" s="21" customFormat="1" ht="25.8">
      <c r="A79" s="21">
        <f>DATE(2025,11,16)</f>
        <v>45977</v>
      </c>
    </row>
    <row r="80" spans="1:35" s="22" customFormat="1" ht="25.8">
      <c r="A80" s="22">
        <f>TIME(22,32,40)</f>
        <v>0.93935185185185188</v>
      </c>
    </row>
  </sheetData>
  <mergeCells count="3">
    <mergeCell ref="A1:XFD1"/>
    <mergeCell ref="A79:XFD79"/>
    <mergeCell ref="A80:XFD8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Основное_задание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Square</dc:creator>
  <cp:lastModifiedBy>Blue Square</cp:lastModifiedBy>
  <dcterms:created xsi:type="dcterms:W3CDTF">2025-11-12T17:39:22Z</dcterms:created>
  <dcterms:modified xsi:type="dcterms:W3CDTF">2025-11-16T00:08:38Z</dcterms:modified>
</cp:coreProperties>
</file>